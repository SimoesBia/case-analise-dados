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ya\Desktop\Case_Estagio_Monks\"/>
    </mc:Choice>
  </mc:AlternateContent>
  <bookViews>
    <workbookView xWindow="0" yWindow="0" windowWidth="23040" windowHeight="9072"/>
  </bookViews>
  <sheets>
    <sheet name="opportunities" sheetId="1" r:id="rId1"/>
    <sheet name="Revenue Over Time" sheetId="7" r:id="rId2"/>
    <sheet name="Lead Source Distribution" sheetId="9" r:id="rId3"/>
    <sheet name="Win Rate by Lead Source" sheetId="14" r:id="rId4"/>
    <sheet name="Stage Distribution" sheetId="11" r:id="rId5"/>
    <sheet name="Average Ticket by Type" sheetId="15" r:id="rId6"/>
    <sheet name="Top 10 Clients" sheetId="19" r:id="rId7"/>
    <sheet name="Open Pipeline by Stage" sheetId="16" r:id="rId8"/>
    <sheet name="Mix New vs Upsell" sheetId="18" r:id="rId9"/>
    <sheet name="Pipeline Metrics" sheetId="24" r:id="rId10"/>
    <sheet name="Average Ticket (Closed Won)" sheetId="12" r:id="rId11"/>
    <sheet name="Amount by Opportunity" sheetId="6" r:id="rId12"/>
  </sheets>
  <definedNames>
    <definedName name="_xlnm._FilterDatabase" localSheetId="0" hidden="1">opportunities!$A$1:$W$414</definedName>
  </definedNames>
  <calcPr calcId="162913"/>
  <pivotCaches>
    <pivotCache cacheId="171" r:id="rId13"/>
    <pivotCache cacheId="217" r:id="rId14"/>
    <pivotCache cacheId="231" r:id="rId15"/>
    <pivotCache cacheId="241" r:id="rId16"/>
    <pivotCache cacheId="253" r:id="rId17"/>
  </pivotCaches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2" i="1"/>
  <c r="U321" i="1"/>
  <c r="U167" i="1"/>
  <c r="U249" i="1"/>
  <c r="U202" i="1"/>
  <c r="U144" i="1"/>
  <c r="U5" i="1"/>
  <c r="U288" i="1"/>
  <c r="U235" i="1"/>
  <c r="U198" i="1"/>
  <c r="U273" i="1"/>
  <c r="U384" i="1"/>
  <c r="U385" i="1"/>
  <c r="U371" i="1"/>
  <c r="U69" i="1"/>
  <c r="U6" i="1"/>
  <c r="U290" i="1"/>
  <c r="U7" i="1"/>
  <c r="U201" i="1"/>
  <c r="U47" i="1"/>
  <c r="U276" i="1"/>
  <c r="U115" i="1"/>
  <c r="U164" i="1"/>
  <c r="U372" i="1"/>
  <c r="U333" i="1"/>
  <c r="U81" i="1"/>
  <c r="U254" i="1"/>
  <c r="U171" i="1"/>
  <c r="U172" i="1"/>
  <c r="U173" i="1"/>
  <c r="U347" i="1"/>
  <c r="U359" i="1"/>
  <c r="U265" i="1"/>
  <c r="U182" i="1"/>
  <c r="U25" i="1"/>
  <c r="U101" i="1"/>
  <c r="U349" i="1"/>
  <c r="U277" i="1"/>
  <c r="U287" i="1"/>
  <c r="U68" i="1"/>
  <c r="U233" i="1"/>
  <c r="U80" i="1"/>
  <c r="U100" i="1"/>
  <c r="U253" i="1"/>
  <c r="U332" i="1"/>
  <c r="U170" i="1"/>
  <c r="U176" i="1"/>
  <c r="U352" i="1"/>
  <c r="U263" i="1"/>
  <c r="U177" i="1"/>
  <c r="U9" i="1"/>
  <c r="U294" i="1"/>
  <c r="U145" i="1"/>
  <c r="U236" i="1"/>
  <c r="U10" i="1"/>
  <c r="U32" i="1"/>
  <c r="U184" i="1"/>
  <c r="U90" i="1"/>
  <c r="U240" i="1"/>
  <c r="U311" i="1"/>
  <c r="U211" i="1"/>
  <c r="U364" i="1"/>
  <c r="U187" i="1"/>
  <c r="U37" i="1"/>
  <c r="U142" i="1"/>
  <c r="U284" i="1"/>
  <c r="U86" i="1"/>
  <c r="U307" i="1"/>
  <c r="U222" i="1"/>
  <c r="U153" i="1"/>
  <c r="U11" i="1"/>
  <c r="U53" i="1"/>
  <c r="U373" i="1"/>
  <c r="U192" i="1"/>
  <c r="U43" i="1"/>
  <c r="U374" i="1"/>
  <c r="U193" i="1"/>
  <c r="U87" i="1"/>
  <c r="U44" i="1"/>
  <c r="U289" i="1"/>
  <c r="U158" i="1"/>
  <c r="U15" i="1"/>
  <c r="U223" i="1"/>
  <c r="U48" i="1"/>
  <c r="U45" i="1"/>
  <c r="U361" i="1"/>
  <c r="U207" i="1"/>
  <c r="U278" i="1"/>
  <c r="U279" i="1"/>
  <c r="U141" i="1"/>
  <c r="U114" i="1"/>
  <c r="U3" i="1"/>
  <c r="U305" i="1"/>
  <c r="U269" i="1"/>
  <c r="U112" i="1"/>
  <c r="U368" i="1"/>
  <c r="U189" i="1"/>
  <c r="U301" i="1"/>
  <c r="U155" i="1"/>
  <c r="U390" i="1"/>
  <c r="U159" i="1"/>
  <c r="U275" i="1"/>
  <c r="U140" i="1"/>
  <c r="U325" i="1"/>
  <c r="U326" i="1"/>
  <c r="U343" i="1"/>
  <c r="U203" i="1"/>
  <c r="U178" i="1"/>
  <c r="U33" i="1"/>
  <c r="U259" i="1"/>
  <c r="U118" i="1"/>
  <c r="U194" i="1"/>
  <c r="U375" i="1"/>
  <c r="U344" i="1"/>
  <c r="U204" i="1"/>
  <c r="U151" i="1"/>
  <c r="U152" i="1"/>
  <c r="U228" i="1"/>
  <c r="U316" i="1"/>
  <c r="U246" i="1"/>
  <c r="U163" i="1"/>
  <c r="U334" i="1"/>
  <c r="U255" i="1"/>
  <c r="U174" i="1"/>
  <c r="U293" i="1"/>
  <c r="U313" i="1"/>
  <c r="U162" i="1"/>
  <c r="U72" i="1"/>
  <c r="U57" i="1"/>
  <c r="U237" i="1"/>
  <c r="U295" i="1"/>
  <c r="U146" i="1"/>
  <c r="U292" i="1"/>
  <c r="U8" i="1"/>
  <c r="U119" i="1"/>
  <c r="U183" i="1"/>
  <c r="U353" i="1"/>
  <c r="U34" i="1"/>
  <c r="U354" i="1"/>
  <c r="U264" i="1"/>
  <c r="U179" i="1"/>
  <c r="U130" i="1"/>
  <c r="U260" i="1"/>
  <c r="U83" i="1"/>
  <c r="U261" i="1"/>
  <c r="U108" i="1"/>
  <c r="U348" i="1"/>
  <c r="U40" i="1"/>
  <c r="U65" i="1"/>
  <c r="U366" i="1"/>
  <c r="U370" i="1"/>
  <c r="U272" i="1"/>
  <c r="U191" i="1"/>
  <c r="U42" i="1"/>
  <c r="U67" i="1"/>
  <c r="U23" i="1"/>
  <c r="U61" i="1"/>
  <c r="U122" i="1"/>
  <c r="U98" i="1"/>
  <c r="U135" i="1"/>
  <c r="U143" i="1"/>
  <c r="U285" i="1"/>
  <c r="U330" i="1"/>
  <c r="U252" i="1"/>
  <c r="U116" i="1"/>
  <c r="U355" i="1"/>
  <c r="U180" i="1"/>
  <c r="U335" i="1"/>
  <c r="U356" i="1"/>
  <c r="U267" i="1"/>
  <c r="U110" i="1"/>
  <c r="U12" i="1"/>
  <c r="U31" i="1"/>
  <c r="U73" i="1"/>
  <c r="U245" i="1"/>
  <c r="U314" i="1"/>
  <c r="U274" i="1"/>
  <c r="U139" i="1"/>
  <c r="U2" i="1"/>
  <c r="U256" i="1"/>
  <c r="U336" i="1"/>
  <c r="U342" i="1"/>
  <c r="U28" i="1"/>
  <c r="U357" i="1"/>
  <c r="U300" i="1"/>
  <c r="U150" i="1"/>
  <c r="U306" i="1"/>
  <c r="U160" i="1"/>
  <c r="U58" i="1"/>
  <c r="U231" i="1"/>
  <c r="U229" i="1"/>
  <c r="U35" i="1"/>
  <c r="U102" i="1"/>
  <c r="U63" i="1"/>
  <c r="U376" i="1"/>
  <c r="U16" i="1"/>
  <c r="U62" i="1"/>
  <c r="U137" i="1"/>
  <c r="U89" i="1"/>
  <c r="U218" i="1"/>
  <c r="U219" i="1"/>
  <c r="U298" i="1"/>
  <c r="U238" i="1"/>
  <c r="U129" i="1"/>
  <c r="U88" i="1"/>
  <c r="U310" i="1"/>
  <c r="U329" i="1"/>
  <c r="U296" i="1"/>
  <c r="U147" i="1"/>
  <c r="U341" i="1"/>
  <c r="U96" i="1"/>
  <c r="U220" i="1"/>
  <c r="U339" i="1"/>
  <c r="U79" i="1"/>
  <c r="U327" i="1"/>
  <c r="U241" i="1"/>
  <c r="U91" i="1"/>
  <c r="U161" i="1"/>
  <c r="U52" i="1"/>
  <c r="U99" i="1"/>
  <c r="U85" i="1"/>
  <c r="U224" i="1"/>
  <c r="U46" i="1"/>
  <c r="U54" i="1"/>
  <c r="U13" i="1"/>
  <c r="U154" i="1"/>
  <c r="U185" i="1"/>
  <c r="U168" i="1"/>
  <c r="U19" i="1"/>
  <c r="U323" i="1"/>
  <c r="U117" i="1"/>
  <c r="U362" i="1"/>
  <c r="U262" i="1"/>
  <c r="U105" i="1"/>
  <c r="U350" i="1"/>
  <c r="U205" i="1"/>
  <c r="U208" i="1"/>
  <c r="U120" i="1"/>
  <c r="U60" i="1"/>
  <c r="U95" i="1"/>
  <c r="U250" i="1"/>
  <c r="U251" i="1"/>
  <c r="U22" i="1"/>
  <c r="U97" i="1"/>
  <c r="U128" i="1"/>
  <c r="U331" i="1"/>
  <c r="U50" i="1"/>
  <c r="U51" i="1"/>
  <c r="U386" i="1"/>
  <c r="U14" i="1"/>
  <c r="U365" i="1"/>
  <c r="U188" i="1"/>
  <c r="U124" i="1"/>
  <c r="U338" i="1"/>
  <c r="U280" i="1"/>
  <c r="U199" i="1"/>
  <c r="U312" i="1"/>
  <c r="U26" i="1"/>
  <c r="U209" i="1"/>
  <c r="U363" i="1"/>
  <c r="U190" i="1"/>
  <c r="U369" i="1"/>
  <c r="U271" i="1"/>
  <c r="U127" i="1"/>
  <c r="U24" i="1"/>
  <c r="U258" i="1"/>
  <c r="U337" i="1"/>
  <c r="U358" i="1"/>
  <c r="U291" i="1"/>
  <c r="U302" i="1"/>
  <c r="U360" i="1"/>
  <c r="U214" i="1"/>
  <c r="U27" i="1"/>
  <c r="U134" i="1"/>
  <c r="U226" i="1"/>
  <c r="U351" i="1"/>
  <c r="U324" i="1"/>
  <c r="U377" i="1"/>
  <c r="U126" i="1"/>
  <c r="U125" i="1"/>
  <c r="U266" i="1"/>
  <c r="U317" i="1"/>
  <c r="U165" i="1"/>
  <c r="U247" i="1"/>
  <c r="U94" i="1"/>
  <c r="U318" i="1"/>
  <c r="U319" i="1"/>
  <c r="U106" i="1"/>
  <c r="U29" i="1"/>
  <c r="U30" i="1"/>
  <c r="U49" i="1"/>
  <c r="U104" i="1"/>
  <c r="U248" i="1"/>
  <c r="U39" i="1"/>
  <c r="U107" i="1"/>
  <c r="U64" i="1"/>
  <c r="U109" i="1"/>
  <c r="U200" i="1"/>
  <c r="U121" i="1"/>
  <c r="U78" i="1"/>
  <c r="U281" i="1"/>
  <c r="U378" i="1"/>
  <c r="U55" i="1"/>
  <c r="U215" i="1"/>
  <c r="U234" i="1"/>
  <c r="U36" i="1"/>
  <c r="U309" i="1"/>
  <c r="U70" i="1"/>
  <c r="U282" i="1"/>
  <c r="U345" i="1"/>
  <c r="U195" i="1"/>
  <c r="U379" i="1"/>
  <c r="U38" i="1"/>
  <c r="U216" i="1"/>
  <c r="U210" i="1"/>
  <c r="U17" i="1"/>
  <c r="U303" i="1"/>
  <c r="U20" i="1"/>
  <c r="U136" i="1"/>
  <c r="U387" i="1"/>
  <c r="U196" i="1"/>
  <c r="U322" i="1"/>
  <c r="U74" i="1"/>
  <c r="U138" i="1"/>
  <c r="U268" i="1"/>
  <c r="U156" i="1"/>
  <c r="U304" i="1"/>
  <c r="U75" i="1"/>
  <c r="U4" i="1"/>
  <c r="U56" i="1"/>
  <c r="U82" i="1"/>
  <c r="U206" i="1"/>
  <c r="U92" i="1"/>
  <c r="U242" i="1"/>
  <c r="U243" i="1"/>
  <c r="U93" i="1"/>
  <c r="U388" i="1"/>
  <c r="U169" i="1"/>
  <c r="U346" i="1"/>
  <c r="U21" i="1"/>
  <c r="U217" i="1"/>
  <c r="U227" i="1"/>
  <c r="U257" i="1"/>
  <c r="U186" i="1"/>
  <c r="U297" i="1"/>
  <c r="U394" i="1"/>
  <c r="U175" i="1"/>
  <c r="U131" i="1"/>
  <c r="U149" i="1"/>
  <c r="U340" i="1"/>
  <c r="U221" i="1"/>
  <c r="U66" i="1"/>
  <c r="U225" i="1"/>
  <c r="U76" i="1"/>
  <c r="U328" i="1"/>
  <c r="U380" i="1"/>
  <c r="U123" i="1"/>
  <c r="U77" i="1"/>
  <c r="U403" i="1"/>
  <c r="U389" i="1"/>
  <c r="U84" i="1"/>
  <c r="U230" i="1"/>
  <c r="U212" i="1"/>
  <c r="U213" i="1"/>
  <c r="U166" i="1"/>
  <c r="U270" i="1"/>
  <c r="U113" i="1"/>
  <c r="U244" i="1"/>
  <c r="U103" i="1"/>
  <c r="U157" i="1"/>
  <c r="U381" i="1"/>
  <c r="U382" i="1"/>
  <c r="U315" i="1"/>
  <c r="U133" i="1"/>
  <c r="U59" i="1"/>
  <c r="U197" i="1"/>
  <c r="U408" i="1"/>
  <c r="U232" i="1"/>
  <c r="U405" i="1"/>
  <c r="U411" i="1"/>
  <c r="U393" i="1"/>
  <c r="U406" i="1"/>
  <c r="U391" i="1"/>
  <c r="U413" i="1"/>
  <c r="U414" i="1"/>
  <c r="U283" i="1"/>
  <c r="U395" i="1"/>
  <c r="U400" i="1"/>
  <c r="U399" i="1"/>
  <c r="U367" i="1"/>
  <c r="U41" i="1"/>
  <c r="U111" i="1"/>
  <c r="U308" i="1"/>
  <c r="U412" i="1"/>
  <c r="U392" i="1"/>
  <c r="U383" i="1"/>
  <c r="U181" i="1"/>
  <c r="U401" i="1"/>
  <c r="U320" i="1"/>
  <c r="U407" i="1"/>
  <c r="U396" i="1"/>
  <c r="U410" i="1"/>
  <c r="U402" i="1"/>
  <c r="U404" i="1"/>
  <c r="U299" i="1"/>
  <c r="U71" i="1"/>
  <c r="U239" i="1"/>
  <c r="U148" i="1"/>
  <c r="U398" i="1"/>
  <c r="U397" i="1"/>
  <c r="U286" i="1"/>
  <c r="U132" i="1"/>
  <c r="U409" i="1"/>
  <c r="U18" i="1"/>
  <c r="T321" i="1"/>
  <c r="T167" i="1"/>
  <c r="T249" i="1"/>
  <c r="T202" i="1"/>
  <c r="T144" i="1"/>
  <c r="T5" i="1"/>
  <c r="T288" i="1"/>
  <c r="T235" i="1"/>
  <c r="T198" i="1"/>
  <c r="T273" i="1"/>
  <c r="T384" i="1"/>
  <c r="T385" i="1"/>
  <c r="T371" i="1"/>
  <c r="T69" i="1"/>
  <c r="T6" i="1"/>
  <c r="T290" i="1"/>
  <c r="T7" i="1"/>
  <c r="T201" i="1"/>
  <c r="T47" i="1"/>
  <c r="T276" i="1"/>
  <c r="T115" i="1"/>
  <c r="T164" i="1"/>
  <c r="T372" i="1"/>
  <c r="T333" i="1"/>
  <c r="T81" i="1"/>
  <c r="T254" i="1"/>
  <c r="T171" i="1"/>
  <c r="T172" i="1"/>
  <c r="T173" i="1"/>
  <c r="T347" i="1"/>
  <c r="T359" i="1"/>
  <c r="T265" i="1"/>
  <c r="T182" i="1"/>
  <c r="T25" i="1"/>
  <c r="T101" i="1"/>
  <c r="T349" i="1"/>
  <c r="T277" i="1"/>
  <c r="T287" i="1"/>
  <c r="T68" i="1"/>
  <c r="T233" i="1"/>
  <c r="T80" i="1"/>
  <c r="T100" i="1"/>
  <c r="T253" i="1"/>
  <c r="T332" i="1"/>
  <c r="T170" i="1"/>
  <c r="T176" i="1"/>
  <c r="T352" i="1"/>
  <c r="T263" i="1"/>
  <c r="T177" i="1"/>
  <c r="T9" i="1"/>
  <c r="T294" i="1"/>
  <c r="T145" i="1"/>
  <c r="T236" i="1"/>
  <c r="T10" i="1"/>
  <c r="T32" i="1"/>
  <c r="T184" i="1"/>
  <c r="T90" i="1"/>
  <c r="T240" i="1"/>
  <c r="T311" i="1"/>
  <c r="T211" i="1"/>
  <c r="T364" i="1"/>
  <c r="T187" i="1"/>
  <c r="T37" i="1"/>
  <c r="T142" i="1"/>
  <c r="T284" i="1"/>
  <c r="T86" i="1"/>
  <c r="T307" i="1"/>
  <c r="T222" i="1"/>
  <c r="T153" i="1"/>
  <c r="T11" i="1"/>
  <c r="T53" i="1"/>
  <c r="T373" i="1"/>
  <c r="T192" i="1"/>
  <c r="T43" i="1"/>
  <c r="T374" i="1"/>
  <c r="T193" i="1"/>
  <c r="T87" i="1"/>
  <c r="T44" i="1"/>
  <c r="T289" i="1"/>
  <c r="T158" i="1"/>
  <c r="T15" i="1"/>
  <c r="T223" i="1"/>
  <c r="T48" i="1"/>
  <c r="T45" i="1"/>
  <c r="T361" i="1"/>
  <c r="T207" i="1"/>
  <c r="T278" i="1"/>
  <c r="T279" i="1"/>
  <c r="T141" i="1"/>
  <c r="T114" i="1"/>
  <c r="T3" i="1"/>
  <c r="T305" i="1"/>
  <c r="T269" i="1"/>
  <c r="T112" i="1"/>
  <c r="T368" i="1"/>
  <c r="T189" i="1"/>
  <c r="T301" i="1"/>
  <c r="T155" i="1"/>
  <c r="T390" i="1"/>
  <c r="T159" i="1"/>
  <c r="T275" i="1"/>
  <c r="T140" i="1"/>
  <c r="T325" i="1"/>
  <c r="T326" i="1"/>
  <c r="T343" i="1"/>
  <c r="T203" i="1"/>
  <c r="T178" i="1"/>
  <c r="T33" i="1"/>
  <c r="T259" i="1"/>
  <c r="T118" i="1"/>
  <c r="T194" i="1"/>
  <c r="T375" i="1"/>
  <c r="T344" i="1"/>
  <c r="T204" i="1"/>
  <c r="T151" i="1"/>
  <c r="T152" i="1"/>
  <c r="T228" i="1"/>
  <c r="T316" i="1"/>
  <c r="T246" i="1"/>
  <c r="T163" i="1"/>
  <c r="T334" i="1"/>
  <c r="T255" i="1"/>
  <c r="T174" i="1"/>
  <c r="T293" i="1"/>
  <c r="T313" i="1"/>
  <c r="T162" i="1"/>
  <c r="T72" i="1"/>
  <c r="T57" i="1"/>
  <c r="T237" i="1"/>
  <c r="T295" i="1"/>
  <c r="T146" i="1"/>
  <c r="T292" i="1"/>
  <c r="T8" i="1"/>
  <c r="T119" i="1"/>
  <c r="T183" i="1"/>
  <c r="T353" i="1"/>
  <c r="T34" i="1"/>
  <c r="T354" i="1"/>
  <c r="T264" i="1"/>
  <c r="T179" i="1"/>
  <c r="T130" i="1"/>
  <c r="T260" i="1"/>
  <c r="T83" i="1"/>
  <c r="T261" i="1"/>
  <c r="T108" i="1"/>
  <c r="T348" i="1"/>
  <c r="T40" i="1"/>
  <c r="T65" i="1"/>
  <c r="T366" i="1"/>
  <c r="T370" i="1"/>
  <c r="T272" i="1"/>
  <c r="T191" i="1"/>
  <c r="T42" i="1"/>
  <c r="T67" i="1"/>
  <c r="T23" i="1"/>
  <c r="T61" i="1"/>
  <c r="T122" i="1"/>
  <c r="T98" i="1"/>
  <c r="T135" i="1"/>
  <c r="T143" i="1"/>
  <c r="T285" i="1"/>
  <c r="T330" i="1"/>
  <c r="T252" i="1"/>
  <c r="T116" i="1"/>
  <c r="T355" i="1"/>
  <c r="T180" i="1"/>
  <c r="T335" i="1"/>
  <c r="T356" i="1"/>
  <c r="T267" i="1"/>
  <c r="T110" i="1"/>
  <c r="T12" i="1"/>
  <c r="T31" i="1"/>
  <c r="T73" i="1"/>
  <c r="T245" i="1"/>
  <c r="T314" i="1"/>
  <c r="T274" i="1"/>
  <c r="T139" i="1"/>
  <c r="T2" i="1"/>
  <c r="T256" i="1"/>
  <c r="T336" i="1"/>
  <c r="T342" i="1"/>
  <c r="T28" i="1"/>
  <c r="T357" i="1"/>
  <c r="T300" i="1"/>
  <c r="T150" i="1"/>
  <c r="T306" i="1"/>
  <c r="T160" i="1"/>
  <c r="T58" i="1"/>
  <c r="T231" i="1"/>
  <c r="T229" i="1"/>
  <c r="T35" i="1"/>
  <c r="T102" i="1"/>
  <c r="T63" i="1"/>
  <c r="T376" i="1"/>
  <c r="T16" i="1"/>
  <c r="T62" i="1"/>
  <c r="T137" i="1"/>
  <c r="T89" i="1"/>
  <c r="T218" i="1"/>
  <c r="T219" i="1"/>
  <c r="T298" i="1"/>
  <c r="T238" i="1"/>
  <c r="T129" i="1"/>
  <c r="T88" i="1"/>
  <c r="T310" i="1"/>
  <c r="T329" i="1"/>
  <c r="T296" i="1"/>
  <c r="T147" i="1"/>
  <c r="T341" i="1"/>
  <c r="T96" i="1"/>
  <c r="T220" i="1"/>
  <c r="T339" i="1"/>
  <c r="T79" i="1"/>
  <c r="T327" i="1"/>
  <c r="T241" i="1"/>
  <c r="T91" i="1"/>
  <c r="T161" i="1"/>
  <c r="T52" i="1"/>
  <c r="T99" i="1"/>
  <c r="T85" i="1"/>
  <c r="T224" i="1"/>
  <c r="T46" i="1"/>
  <c r="T54" i="1"/>
  <c r="T13" i="1"/>
  <c r="T154" i="1"/>
  <c r="T185" i="1"/>
  <c r="T168" i="1"/>
  <c r="T19" i="1"/>
  <c r="T323" i="1"/>
  <c r="T117" i="1"/>
  <c r="T362" i="1"/>
  <c r="T262" i="1"/>
  <c r="T105" i="1"/>
  <c r="T350" i="1"/>
  <c r="T205" i="1"/>
  <c r="T208" i="1"/>
  <c r="T120" i="1"/>
  <c r="T60" i="1"/>
  <c r="T95" i="1"/>
  <c r="T250" i="1"/>
  <c r="T251" i="1"/>
  <c r="T22" i="1"/>
  <c r="T97" i="1"/>
  <c r="T128" i="1"/>
  <c r="T331" i="1"/>
  <c r="T50" i="1"/>
  <c r="T51" i="1"/>
  <c r="T386" i="1"/>
  <c r="T14" i="1"/>
  <c r="T365" i="1"/>
  <c r="T188" i="1"/>
  <c r="T124" i="1"/>
  <c r="T338" i="1"/>
  <c r="T280" i="1"/>
  <c r="T199" i="1"/>
  <c r="T312" i="1"/>
  <c r="T26" i="1"/>
  <c r="T209" i="1"/>
  <c r="T363" i="1"/>
  <c r="T190" i="1"/>
  <c r="T369" i="1"/>
  <c r="T271" i="1"/>
  <c r="T127" i="1"/>
  <c r="T24" i="1"/>
  <c r="T258" i="1"/>
  <c r="T337" i="1"/>
  <c r="T358" i="1"/>
  <c r="T291" i="1"/>
  <c r="T302" i="1"/>
  <c r="T360" i="1"/>
  <c r="T214" i="1"/>
  <c r="T27" i="1"/>
  <c r="T134" i="1"/>
  <c r="T226" i="1"/>
  <c r="T351" i="1"/>
  <c r="T324" i="1"/>
  <c r="T377" i="1"/>
  <c r="T126" i="1"/>
  <c r="T125" i="1"/>
  <c r="T266" i="1"/>
  <c r="T317" i="1"/>
  <c r="T165" i="1"/>
  <c r="T247" i="1"/>
  <c r="T94" i="1"/>
  <c r="T318" i="1"/>
  <c r="T319" i="1"/>
  <c r="T106" i="1"/>
  <c r="T29" i="1"/>
  <c r="T30" i="1"/>
  <c r="T49" i="1"/>
  <c r="T104" i="1"/>
  <c r="T248" i="1"/>
  <c r="T39" i="1"/>
  <c r="T107" i="1"/>
  <c r="T64" i="1"/>
  <c r="T109" i="1"/>
  <c r="T200" i="1"/>
  <c r="T121" i="1"/>
  <c r="T78" i="1"/>
  <c r="T281" i="1"/>
  <c r="T378" i="1"/>
  <c r="T55" i="1"/>
  <c r="T215" i="1"/>
  <c r="T234" i="1"/>
  <c r="T36" i="1"/>
  <c r="T309" i="1"/>
  <c r="T70" i="1"/>
  <c r="T282" i="1"/>
  <c r="T345" i="1"/>
  <c r="T195" i="1"/>
  <c r="T379" i="1"/>
  <c r="T38" i="1"/>
  <c r="T216" i="1"/>
  <c r="T210" i="1"/>
  <c r="T17" i="1"/>
  <c r="T303" i="1"/>
  <c r="T20" i="1"/>
  <c r="T136" i="1"/>
  <c r="T387" i="1"/>
  <c r="T196" i="1"/>
  <c r="T322" i="1"/>
  <c r="T74" i="1"/>
  <c r="T138" i="1"/>
  <c r="T268" i="1"/>
  <c r="T156" i="1"/>
  <c r="T304" i="1"/>
  <c r="T75" i="1"/>
  <c r="T4" i="1"/>
  <c r="T56" i="1"/>
  <c r="T82" i="1"/>
  <c r="T206" i="1"/>
  <c r="T92" i="1"/>
  <c r="T242" i="1"/>
  <c r="T243" i="1"/>
  <c r="T93" i="1"/>
  <c r="T388" i="1"/>
  <c r="T169" i="1"/>
  <c r="T346" i="1"/>
  <c r="T21" i="1"/>
  <c r="T217" i="1"/>
  <c r="T227" i="1"/>
  <c r="T257" i="1"/>
  <c r="T186" i="1"/>
  <c r="T297" i="1"/>
  <c r="T394" i="1"/>
  <c r="T175" i="1"/>
  <c r="T131" i="1"/>
  <c r="T149" i="1"/>
  <c r="T340" i="1"/>
  <c r="T221" i="1"/>
  <c r="T66" i="1"/>
  <c r="T225" i="1"/>
  <c r="T76" i="1"/>
  <c r="T328" i="1"/>
  <c r="T380" i="1"/>
  <c r="T123" i="1"/>
  <c r="T77" i="1"/>
  <c r="T403" i="1"/>
  <c r="T389" i="1"/>
  <c r="T84" i="1"/>
  <c r="T230" i="1"/>
  <c r="T212" i="1"/>
  <c r="T213" i="1"/>
  <c r="T166" i="1"/>
  <c r="T270" i="1"/>
  <c r="T113" i="1"/>
  <c r="T244" i="1"/>
  <c r="T103" i="1"/>
  <c r="T157" i="1"/>
  <c r="T381" i="1"/>
  <c r="T382" i="1"/>
  <c r="T315" i="1"/>
  <c r="T133" i="1"/>
  <c r="T59" i="1"/>
  <c r="T197" i="1"/>
  <c r="T408" i="1"/>
  <c r="T232" i="1"/>
  <c r="T405" i="1"/>
  <c r="T411" i="1"/>
  <c r="T393" i="1"/>
  <c r="T406" i="1"/>
  <c r="T391" i="1"/>
  <c r="T413" i="1"/>
  <c r="T414" i="1"/>
  <c r="T283" i="1"/>
  <c r="T395" i="1"/>
  <c r="T400" i="1"/>
  <c r="T399" i="1"/>
  <c r="T367" i="1"/>
  <c r="T41" i="1"/>
  <c r="T111" i="1"/>
  <c r="T308" i="1"/>
  <c r="T412" i="1"/>
  <c r="T392" i="1"/>
  <c r="T383" i="1"/>
  <c r="T181" i="1"/>
  <c r="T401" i="1"/>
  <c r="T320" i="1"/>
  <c r="T407" i="1"/>
  <c r="T396" i="1"/>
  <c r="T410" i="1"/>
  <c r="T402" i="1"/>
  <c r="T404" i="1"/>
  <c r="T299" i="1"/>
  <c r="T71" i="1"/>
  <c r="T239" i="1"/>
  <c r="T148" i="1"/>
  <c r="T398" i="1"/>
  <c r="T397" i="1"/>
  <c r="T286" i="1"/>
  <c r="T132" i="1"/>
  <c r="T409" i="1"/>
  <c r="T18" i="1"/>
  <c r="C5" i="12"/>
  <c r="C10" i="11"/>
  <c r="C9" i="11"/>
  <c r="C8" i="11"/>
  <c r="C7" i="11"/>
  <c r="C6" i="11"/>
  <c r="C5" i="11"/>
  <c r="C4" i="11"/>
</calcChain>
</file>

<file path=xl/sharedStrings.xml><?xml version="1.0" encoding="utf-8"?>
<sst xmlns="http://schemas.openxmlformats.org/spreadsheetml/2006/main" count="6494" uniqueCount="1081">
  <si>
    <t>Opportunity_ID</t>
  </si>
  <si>
    <t>Account_ID</t>
  </si>
  <si>
    <t>Account_Name</t>
  </si>
  <si>
    <t>Opportunity_Owner</t>
  </si>
  <si>
    <t>Opportunity_Name</t>
  </si>
  <si>
    <t>Type</t>
  </si>
  <si>
    <t>Stage</t>
  </si>
  <si>
    <t>Amount</t>
  </si>
  <si>
    <t>Amount_Currency</t>
  </si>
  <si>
    <t>Total_Product_Amount</t>
  </si>
  <si>
    <t>Total_Product_Amount_Currency</t>
  </si>
  <si>
    <t>Product_Name</t>
  </si>
  <si>
    <t>Close_Date</t>
  </si>
  <si>
    <t>Created_Date</t>
  </si>
  <si>
    <t>Lead_Source</t>
  </si>
  <si>
    <t>Lead_Office</t>
  </si>
  <si>
    <t>Stage_Duration</t>
  </si>
  <si>
    <t>Delivery_Length_Months</t>
  </si>
  <si>
    <t>OPP-10001</t>
  </si>
  <si>
    <t>ACC-1031</t>
  </si>
  <si>
    <t>Nova Studios</t>
  </si>
  <si>
    <t>Queila Ribeiro</t>
  </si>
  <si>
    <t>Nova Studios - DDM - Media - Managed Media (AOR) - 04/2026</t>
  </si>
  <si>
    <t>Change Order/Upsell</t>
  </si>
  <si>
    <t>Registration</t>
  </si>
  <si>
    <t>BRL</t>
  </si>
  <si>
    <t>DDM - Media - Managed Media (AOR)</t>
  </si>
  <si>
    <t>Inbound - Current Client (DEPRECATED)</t>
  </si>
  <si>
    <t>130</t>
  </si>
  <si>
    <t>12</t>
  </si>
  <si>
    <t>Nova Studios - Content - Social - AOR - 04/2026</t>
  </si>
  <si>
    <t>Content - Social - AOR</t>
  </si>
  <si>
    <t>Nova Studios - DDM - Media - Creative - 04/2026</t>
  </si>
  <si>
    <t>DDM - Media - Creative</t>
  </si>
  <si>
    <t>OPP-10002</t>
  </si>
  <si>
    <t>ACC-1108</t>
  </si>
  <si>
    <t>Jojoba Cosmetics</t>
  </si>
  <si>
    <t>Wanda Borges</t>
  </si>
  <si>
    <t>Jojoba Cosmetics - DDM - Media - Activation - Platforms Reselling - 01/2026</t>
  </si>
  <si>
    <t>Project - Competitive</t>
  </si>
  <si>
    <t>Closed Won</t>
  </si>
  <si>
    <t>DDM - Media - Activation - Platforms Reselling</t>
  </si>
  <si>
    <t>Referral - Partner - Google Marketing Platform</t>
  </si>
  <si>
    <t>85</t>
  </si>
  <si>
    <t>OPP-10003</t>
  </si>
  <si>
    <t>ACC-1094</t>
  </si>
  <si>
    <t>Xylitol Beverages</t>
  </si>
  <si>
    <t>Lucas Almeida</t>
  </si>
  <si>
    <t>Xylitol Beverages - DDM - Media - Activation - Platforms Reselling - 01/2026</t>
  </si>
  <si>
    <t>Project - Not Competitive</t>
  </si>
  <si>
    <t>Referral - Internal</t>
  </si>
  <si>
    <t>92</t>
  </si>
  <si>
    <t>OPP-10004</t>
  </si>
  <si>
    <t>ACC-1035</t>
  </si>
  <si>
    <t>Copper Air</t>
  </si>
  <si>
    <t>Bernardo Castro</t>
  </si>
  <si>
    <t>Copper Air - DDM - Data - Services &amp; Tech - Services (Analytics &amp; Support) - 01/2026</t>
  </si>
  <si>
    <t>DDM - Data - Services &amp; Tech - Services (Analytics &amp; Support)</t>
  </si>
  <si>
    <t>Votorantim, BR</t>
  </si>
  <si>
    <t>90</t>
  </si>
  <si>
    <t>2</t>
  </si>
  <si>
    <t>OPP-10005</t>
  </si>
  <si>
    <t>ACC-1096</t>
  </si>
  <si>
    <t>Vanilla Beverages</t>
  </si>
  <si>
    <t>Nicolas Teixeira</t>
  </si>
  <si>
    <t>Vanilla Beverages - DDM - Media - Activation - Platforms Reselling - 05/2026</t>
  </si>
  <si>
    <t>Negotiation</t>
  </si>
  <si>
    <t>OPP-10006</t>
  </si>
  <si>
    <t>ACC-1029</t>
  </si>
  <si>
    <t>Zephyr Telecom</t>
  </si>
  <si>
    <t>Ana Silva</t>
  </si>
  <si>
    <t>Zephyr Telecom - DDM - Data - Services &amp; Tech - Services (Analytics &amp; Support) - 01/2026</t>
  </si>
  <si>
    <t>83</t>
  </si>
  <si>
    <t>1</t>
  </si>
  <si>
    <t>OPP-10007</t>
  </si>
  <si>
    <t>Nova Studios - Content - Platform - Website Creation &amp; Production - 01/2026</t>
  </si>
  <si>
    <t>Content - Platform - Website Creation &amp; Production</t>
  </si>
  <si>
    <t>95</t>
  </si>
  <si>
    <t>OPP-10008</t>
  </si>
  <si>
    <t>ACC-1015</t>
  </si>
  <si>
    <t>Zinnia Apparel</t>
  </si>
  <si>
    <t>Zinnia Apparel - DDM - Data - Services &amp; Tech - Services (Analytics &amp; Support) - 03/2026</t>
  </si>
  <si>
    <t>Flex/Renewal</t>
  </si>
  <si>
    <t>14</t>
  </si>
  <si>
    <t>Zinnia Apparel - DDM - Media - Creative - 03/2026</t>
  </si>
  <si>
    <t>Zinnia Apparel - DDM - Media - Managed Media (AOR) - 03/2026</t>
  </si>
  <si>
    <t>OPP-10009</t>
  </si>
  <si>
    <t>Zephyr Telecom - DDM - Media - Managed Media (AOR) - 02/2026</t>
  </si>
  <si>
    <t>46</t>
  </si>
  <si>
    <t>OPP-10010</t>
  </si>
  <si>
    <t>Nova Studios - DDM - Data - Services &amp; Tech - Services (Analytics &amp; Support) - 01/2026</t>
  </si>
  <si>
    <t>96</t>
  </si>
  <si>
    <t>OPP-10011</t>
  </si>
  <si>
    <t>ACC-1025</t>
  </si>
  <si>
    <t>Nutmeg Gaming</t>
  </si>
  <si>
    <t>Amanda Rios</t>
  </si>
  <si>
    <t>Nutmeg Gaming - DDM - Media - Creative - 02/2026</t>
  </si>
  <si>
    <t>64</t>
  </si>
  <si>
    <t>Nutmeg Gaming - DDM - Media - Managed Media (AOR) - 02/2026</t>
  </si>
  <si>
    <t>OPP-10012</t>
  </si>
  <si>
    <t>ACC-1056</t>
  </si>
  <si>
    <t>Orion Bank</t>
  </si>
  <si>
    <t>Carla Mendes</t>
  </si>
  <si>
    <t>Orion Bank - Content - Platform - Performance, SEO, CRM &amp; Loyalty - 03/2026</t>
  </si>
  <si>
    <t>Content - Platform - Performance, SEO, CRM &amp; Loyalty</t>
  </si>
  <si>
    <t>36</t>
  </si>
  <si>
    <t>8</t>
  </si>
  <si>
    <t>OPP-10013</t>
  </si>
  <si>
    <t>ACC-1040</t>
  </si>
  <si>
    <t>Quartz Pharma</t>
  </si>
  <si>
    <t>Sofia Guimaraes</t>
  </si>
  <si>
    <t>Quartz Pharma -  - 06/2026</t>
  </si>
  <si>
    <t>Opportunity Identified</t>
  </si>
  <si>
    <t>180</t>
  </si>
  <si>
    <t>OPP-10014</t>
  </si>
  <si>
    <t>ACC-1036</t>
  </si>
  <si>
    <t>Rowan Energy</t>
  </si>
  <si>
    <t>Pedro Martins</t>
  </si>
  <si>
    <t>Rowan Energy - DDM - Data - Services &amp; Tech - Services (Data Science/Data Eng.) - 05/2026</t>
  </si>
  <si>
    <t>Pitched</t>
  </si>
  <si>
    <t>DDM - Data - Services &amp; Tech - Services (Data Science/Data Eng.)</t>
  </si>
  <si>
    <t>148</t>
  </si>
  <si>
    <t>6</t>
  </si>
  <si>
    <t>OPP-10015</t>
  </si>
  <si>
    <t>ACC-1064</t>
  </si>
  <si>
    <t>Arrow Construction</t>
  </si>
  <si>
    <t>Daniel Moura</t>
  </si>
  <si>
    <t>Arrow Construction - DDM - Media - Managed Media (AOR) - 01/2026</t>
  </si>
  <si>
    <t>82</t>
  </si>
  <si>
    <t>OPP-10016</t>
  </si>
  <si>
    <t>ACC-1086</t>
  </si>
  <si>
    <t>Sable Footwear</t>
  </si>
  <si>
    <t>Joao Pereira</t>
  </si>
  <si>
    <t>Sable Footwear - DDM - Data - Services &amp; Tech - Platforms Reselling - 02/2026</t>
  </si>
  <si>
    <t>DDM - Data - Services &amp; Tech - Platforms Reselling</t>
  </si>
  <si>
    <t>Inbound - Website - Media.Monks (DEPRECATED)</t>
  </si>
  <si>
    <t>50</t>
  </si>
  <si>
    <t>OPP-10017</t>
  </si>
  <si>
    <t>ACC-1063</t>
  </si>
  <si>
    <t>Saffron Fashion</t>
  </si>
  <si>
    <t>Saffron Fashion - DDM - Data - Services &amp; Tech - Services (Analytics &amp; Support) - 01/2026</t>
  </si>
  <si>
    <t>99</t>
  </si>
  <si>
    <t>Saffron Fashion - Content - Platform - Performance, SEO, CRM &amp; Loyalty - 01/2026</t>
  </si>
  <si>
    <t>OPP-10018</t>
  </si>
  <si>
    <t>OPP-10019</t>
  </si>
  <si>
    <t>ACC-1099</t>
  </si>
  <si>
    <t>Kiwi Logistics</t>
  </si>
  <si>
    <t>Yasmin Nogueira</t>
  </si>
  <si>
    <t>Kiwi Logistics - Content - Platform - Performance, SEO, CRM &amp; Loyalty - 05/2026</t>
  </si>
  <si>
    <t>Referral - S4 Company</t>
  </si>
  <si>
    <t>175</t>
  </si>
  <si>
    <t>OPP-10020</t>
  </si>
  <si>
    <t>ACC-1041</t>
  </si>
  <si>
    <t>Linden Foods</t>
  </si>
  <si>
    <t>Linden Foods - DDM - Commerce - Content - 07/2026</t>
  </si>
  <si>
    <t>DDM - Commerce - Content</t>
  </si>
  <si>
    <t>26</t>
  </si>
  <si>
    <t>OPP-10021</t>
  </si>
  <si>
    <t>Nova Studios - DDM - Data - Services &amp; Tech - Services (Analytics &amp; Support) - 03/2026</t>
  </si>
  <si>
    <t>27</t>
  </si>
  <si>
    <t>OPP-10022</t>
  </si>
  <si>
    <t>ACC-1057</t>
  </si>
  <si>
    <t>Raven Sports</t>
  </si>
  <si>
    <t>Raven Sports - DDM - Media - Managed Media (AOR) - 03/2026</t>
  </si>
  <si>
    <t>33</t>
  </si>
  <si>
    <t>4</t>
  </si>
  <si>
    <t>OPP-10023</t>
  </si>
  <si>
    <t>ACC-1038</t>
  </si>
  <si>
    <t>Sumac Telecom</t>
  </si>
  <si>
    <t>Sumac Telecom - DDM - Media - Managed Media (AOR) - 03/2026</t>
  </si>
  <si>
    <t>Sumac Telecom - DDM - Media - Creative - 03/2026</t>
  </si>
  <si>
    <t>Sumac Telecom - DDM - Data - Services &amp; Tech - Services (Analytics &amp; Support) - 03/2026</t>
  </si>
  <si>
    <t>OPP-10024</t>
  </si>
  <si>
    <t>ACC-1051</t>
  </si>
  <si>
    <t>Pyrite Fintech</t>
  </si>
  <si>
    <t>Karina Oliveira</t>
  </si>
  <si>
    <t>Pyrite Fintech - DDM - Media - Managed Media (AOR) - 04/2026</t>
  </si>
  <si>
    <t>127</t>
  </si>
  <si>
    <t>Pyrite Fintech - Content - Platform - Performance, SEO, CRM &amp; Loyalty - 04/2026</t>
  </si>
  <si>
    <t>OPP-10025</t>
  </si>
  <si>
    <t>ACC-1027</t>
  </si>
  <si>
    <t>Rosemary Auto</t>
  </si>
  <si>
    <t>Rosemary Auto - DDM - Media - Managed Media (AOR) - 01/2026</t>
  </si>
  <si>
    <t>OPP-10026</t>
  </si>
  <si>
    <t>71</t>
  </si>
  <si>
    <t>3</t>
  </si>
  <si>
    <t>OPP-10027</t>
  </si>
  <si>
    <t>ACC-1109</t>
  </si>
  <si>
    <t>Bluefin Logistics</t>
  </si>
  <si>
    <t>Bluefin Logistics - DDM - Media - Managed Media (AOR) - 06/2026</t>
  </si>
  <si>
    <t>Retainer</t>
  </si>
  <si>
    <t>76</t>
  </si>
  <si>
    <t>Bluefin Logistics - Content - Social - AOR - 06/2026</t>
  </si>
  <si>
    <t>Bluefin Logistics - DDM - Media - Creative - 06/2026</t>
  </si>
  <si>
    <t>OPP-10028</t>
  </si>
  <si>
    <t>74</t>
  </si>
  <si>
    <t>OPP-10029</t>
  </si>
  <si>
    <t>ACC-1022</t>
  </si>
  <si>
    <t>10</t>
  </si>
  <si>
    <t>Content - Platform - Service &amp; Maintenance</t>
  </si>
  <si>
    <t>OPP-10030</t>
  </si>
  <si>
    <t>ACC-1100</t>
  </si>
  <si>
    <t>Ramson Gaming</t>
  </si>
  <si>
    <t>Felipe Lima</t>
  </si>
  <si>
    <t>Ramson Gaming - Content - Platform - Performance, SEO, CRM &amp; Loyalty - 06/2026</t>
  </si>
  <si>
    <t>OPP-10031</t>
  </si>
  <si>
    <t>ACC-1070</t>
  </si>
  <si>
    <t>Quinoa Foods</t>
  </si>
  <si>
    <t>Quinoa Foods - DDM - CRM - Salesforce Marketing Cloud - 01/2026</t>
  </si>
  <si>
    <t>DDM - CRM - Salesforce Marketing Cloud</t>
  </si>
  <si>
    <t>98</t>
  </si>
  <si>
    <t>Quinoa Foods - DDM - Media - Managed Media (AOR) - 01/2026</t>
  </si>
  <si>
    <t>Quinoa Foods - DDM - Data - Services &amp; Tech - Services (Data Science/Data Eng.) - 01/2026</t>
  </si>
  <si>
    <t>OPP-10032</t>
  </si>
  <si>
    <t>Saffron Fashion - DDM - Media - Managed Media (AOR) - 01/2026</t>
  </si>
  <si>
    <t>OPP-10033</t>
  </si>
  <si>
    <t>OPP-10034</t>
  </si>
  <si>
    <t>ACC-1049</t>
  </si>
  <si>
    <t>Hazel Construction</t>
  </si>
  <si>
    <t>Hazel Construction - Content - Social - AOR - 01/2026</t>
  </si>
  <si>
    <t>OPP-10035</t>
  </si>
  <si>
    <t>ACC-1010</t>
  </si>
  <si>
    <t>Juniper Data</t>
  </si>
  <si>
    <t>Juniper Data - DDM - Data - Services &amp; Tech - Services (Analytics &amp; Support) - 06/2026</t>
  </si>
  <si>
    <t>Industry Event</t>
  </si>
  <si>
    <t>134</t>
  </si>
  <si>
    <t>24</t>
  </si>
  <si>
    <t>Juniper Data - Content - Platform - Performance, SEO, CRM &amp; Loyalty - 06/2026</t>
  </si>
  <si>
    <t>Juniper Data - DDM - Media - Managed Media (AOR) - 06/2026</t>
  </si>
  <si>
    <t>Juniper Data - DDM - CRM - Salesforce Marketing Cloud - 06/2026</t>
  </si>
  <si>
    <t>OPP-10036</t>
  </si>
  <si>
    <t>ACC-1004</t>
  </si>
  <si>
    <t>Harbor Grocers</t>
  </si>
  <si>
    <t>Harbor Grocers - DDM - Commerce - Content - 01/2026</t>
  </si>
  <si>
    <t>Harbor Grocers - DDM - Media - Creative - 01/2026</t>
  </si>
  <si>
    <t>Harbor Grocers - DDM - Media - Managed Media (AOR) - 01/2026</t>
  </si>
  <si>
    <t>OPP-10037</t>
  </si>
  <si>
    <t>ACC-1012</t>
  </si>
  <si>
    <t>Dill Delivery</t>
  </si>
  <si>
    <t>Dill Delivery - DDM - Media - Activation - Platforms Reselling - 01/2026</t>
  </si>
  <si>
    <t>75</t>
  </si>
  <si>
    <t>OPP-10038</t>
  </si>
  <si>
    <t>ACC-1046</t>
  </si>
  <si>
    <t>Cypress Air</t>
  </si>
  <si>
    <t>Cypress Air - DDM - Media - Managed Media (AOR) - 02/2026</t>
  </si>
  <si>
    <t>Inbound - Marketing (DEPRECATED)</t>
  </si>
  <si>
    <t>Cypress Air - DDM - Data - Services &amp; Tech - Services (Analytics &amp; Support) - 02/2026</t>
  </si>
  <si>
    <t>OPP-10039</t>
  </si>
  <si>
    <t>OPP-10040</t>
  </si>
  <si>
    <t>ACC-1059</t>
  </si>
  <si>
    <t>Basalt Mining</t>
  </si>
  <si>
    <t>Basalt Mining - DDM - Data - Services &amp; Tech - Services (Analytics &amp; Support) - 01/2026</t>
  </si>
  <si>
    <t>69</t>
  </si>
  <si>
    <t>Basalt Mining - DDM - Media - Managed Media (AOR) - 01/2026</t>
  </si>
  <si>
    <t>OPP-10041</t>
  </si>
  <si>
    <t>ACC-1026</t>
  </si>
  <si>
    <t>Obsidian Bank</t>
  </si>
  <si>
    <t>Obsidian Bank - DDM - Media - Managed Media (AOR) - 05/2026</t>
  </si>
  <si>
    <t>117</t>
  </si>
  <si>
    <t>OPP-10042</t>
  </si>
  <si>
    <t>ACC-1072</t>
  </si>
  <si>
    <t>Ginger Realty</t>
  </si>
  <si>
    <t>Ginger Realty - DDM - Media - Managed Media (AOR) - 01/2026</t>
  </si>
  <si>
    <t>89</t>
  </si>
  <si>
    <t>OPP-10044</t>
  </si>
  <si>
    <t>Saffron Fashion - DDM - Media - Creative - 01/2026</t>
  </si>
  <si>
    <t>OPP-10043</t>
  </si>
  <si>
    <t>Zephyr Telecom - DDM - Media - Managed Media (AOR) - 03/2026</t>
  </si>
  <si>
    <t>Zephyr Telecom - DDM - Data - Services &amp; Tech - Services (Analytics &amp; Support) - 03/2026</t>
  </si>
  <si>
    <t>Zephyr Telecom - Content - Platform - Performance, SEO, CRM &amp; Loyalty - 03/2026</t>
  </si>
  <si>
    <t>OPP-10045</t>
  </si>
  <si>
    <t>60</t>
  </si>
  <si>
    <t>Zephyr Telecom - DDM - Data - Services &amp; Tech - Services (Analytics &amp; Support) - 02/2026</t>
  </si>
  <si>
    <t>Zephyr Telecom - Content - Social - Project - 02/2026</t>
  </si>
  <si>
    <t>Content - Social - Project</t>
  </si>
  <si>
    <t>Zephyr Telecom - Content - Platform - Performance, SEO, CRM &amp; Loyalty - 02/2026</t>
  </si>
  <si>
    <t>OPP-10046</t>
  </si>
  <si>
    <t>Hazel Construction - Content - Social - AOR - 02/2026</t>
  </si>
  <si>
    <t>48</t>
  </si>
  <si>
    <t>Hazel Construction - DDM - Media - Creative - 02/2026</t>
  </si>
  <si>
    <t>Hazel Construction - DDM - Media - Managed Media (AOR) - 02/2026</t>
  </si>
  <si>
    <t>OPP-10047</t>
  </si>
  <si>
    <t>ACC-1024</t>
  </si>
  <si>
    <t>Topaz Publishing</t>
  </si>
  <si>
    <t>Topaz Publishing - DDM - Media - Activation - Platforms Reselling - 01/2026</t>
  </si>
  <si>
    <t>70</t>
  </si>
  <si>
    <t>OPP-10048</t>
  </si>
  <si>
    <t>ACC-1106</t>
  </si>
  <si>
    <t>Yucca Farms</t>
  </si>
  <si>
    <t>Yucca Farms - DDM - Data - Services &amp; Tech - Services (Analytics &amp; Support) - 03/2026</t>
  </si>
  <si>
    <t>Referral - Personal</t>
  </si>
  <si>
    <t>Yucca Farms - DDM - Media - Managed Media (AOR) - 03/2026</t>
  </si>
  <si>
    <t>Yucca Farms - DDM - Media - Creative - 03/2026</t>
  </si>
  <si>
    <t>Yucca Farms - DDM - Data - Automation - 03/2026</t>
  </si>
  <si>
    <t>DDM - Data - Automation</t>
  </si>
  <si>
    <t>OPP-10049</t>
  </si>
  <si>
    <t>ACC-1107</t>
  </si>
  <si>
    <t>Cobalt SaaS</t>
  </si>
  <si>
    <t>Xavier Correia</t>
  </si>
  <si>
    <t>Cobalt SaaS - DDM - Media - Managed Media (AOR) - 01/2026</t>
  </si>
  <si>
    <t>OPP-10050</t>
  </si>
  <si>
    <t>ACC-1045</t>
  </si>
  <si>
    <t>OPP-10051</t>
  </si>
  <si>
    <t>ACC-1044</t>
  </si>
  <si>
    <t>Yerba Studios</t>
  </si>
  <si>
    <t>Yerba Studios - DDM - Media - Creative - 01/2026</t>
  </si>
  <si>
    <t>77</t>
  </si>
  <si>
    <t>Yerba Studios - DDM - Commerce - Content - 01/2026</t>
  </si>
  <si>
    <t>Yerba Studios - DDM - Media - Managed Media (AOR) - 01/2026</t>
  </si>
  <si>
    <t>Yerba Studios - DDM - Data - Services &amp; Tech - Services (Analytics &amp; Support) - 01/2026</t>
  </si>
  <si>
    <t>OPP-10052</t>
  </si>
  <si>
    <t>ACC-1016</t>
  </si>
  <si>
    <t>Elm Realty</t>
  </si>
  <si>
    <t>Elm Realty - DDM - Media - Managed Media (AOR) - 03/2026</t>
  </si>
  <si>
    <t>MH Lead (DEPRECATED)</t>
  </si>
  <si>
    <t>22</t>
  </si>
  <si>
    <t>Elm Realty - DDM - Data - Services &amp; Tech - Services (Analytics &amp; Support) - 03/2026</t>
  </si>
  <si>
    <t>OPP-10053</t>
  </si>
  <si>
    <t>Arrow Construction - DDM - Media - Managed Media (AOR) - 05/2026</t>
  </si>
  <si>
    <t>Arrow Construction - DDM - Data - Services &amp; Tech - Services (Data Science/Data Eng.) - 05/2026</t>
  </si>
  <si>
    <t>OPP-10054</t>
  </si>
  <si>
    <t>ACC-1019</t>
  </si>
  <si>
    <t>Thistle Tech</t>
  </si>
  <si>
    <t>Thistle Tech - DDM - Data - Services &amp; Tech - Services (Analytics &amp; Support) - 01/2026</t>
  </si>
  <si>
    <t>5</t>
  </si>
  <si>
    <t>OPP-10055</t>
  </si>
  <si>
    <t>ACC-1084</t>
  </si>
  <si>
    <t>Nigella Security</t>
  </si>
  <si>
    <t>Bruno Costa</t>
  </si>
  <si>
    <t>Nigella Security - Content - Platform - Performance, SEO, CRM &amp; Loyalty - 05/2026</t>
  </si>
  <si>
    <t>Pitching</t>
  </si>
  <si>
    <t>137</t>
  </si>
  <si>
    <t>OPP-10056</t>
  </si>
  <si>
    <t>ACC-1076</t>
  </si>
  <si>
    <t>Kudzu Retail</t>
  </si>
  <si>
    <t>Kudzu Retail - DDM - Media - Managed Media (AOR) - 01/2026</t>
  </si>
  <si>
    <t>84</t>
  </si>
  <si>
    <t>OPP-10057</t>
  </si>
  <si>
    <t>Nova Studios - Content - Platform - Performance, SEO, CRM &amp; Loyalty - 07/2026</t>
  </si>
  <si>
    <t>Nova Studios - DDM - Commerce - Content - 07/2026</t>
  </si>
  <si>
    <t>OPP-10058</t>
  </si>
  <si>
    <t>ACC-1095</t>
  </si>
  <si>
    <t>Nimbus Media</t>
  </si>
  <si>
    <t>Nimbus Media - Content - Social - AOR - 05/2026</t>
  </si>
  <si>
    <t>54</t>
  </si>
  <si>
    <t>Nimbus Media - DDM - Commerce - Content - 05/2026</t>
  </si>
  <si>
    <t>Nimbus Media - DDM - Media - Creative - 05/2026</t>
  </si>
  <si>
    <t>Nimbus Media - DDM - Media - Managed Media (AOR) - 05/2026</t>
  </si>
  <si>
    <t>Nimbus Media - DDM - Data - Services &amp; Tech - Services (Analytics &amp; Support) - 05/2026</t>
  </si>
  <si>
    <t>OPP-10059</t>
  </si>
  <si>
    <t>34</t>
  </si>
  <si>
    <t>OPP-10060</t>
  </si>
  <si>
    <t>ACC-1005</t>
  </si>
  <si>
    <t>Helios Tech</t>
  </si>
  <si>
    <t>Helios Tech - DDM - Media - Managed Media (AOR) - 04/2026</t>
  </si>
  <si>
    <t>Don't Know/Other (DEPRECATED)</t>
  </si>
  <si>
    <t>21</t>
  </si>
  <si>
    <t>Helios Tech - DDM - Media - Creative - 04/2026</t>
  </si>
  <si>
    <t>Helios Tech - DDM - Data - Services &amp; Tech - Services (Analytics &amp; Support) - 04/2026</t>
  </si>
  <si>
    <t>OPP-10061</t>
  </si>
  <si>
    <t>Harbor Grocers - DDM - Data - Services &amp; Tech - Services (Analytics &amp; Support) - 01/2026</t>
  </si>
  <si>
    <t>OPP-10062</t>
  </si>
  <si>
    <t>OPP-10063</t>
  </si>
  <si>
    <t>OPP-10064</t>
  </si>
  <si>
    <t>Nova Studios - DDM - Data - Services &amp; Tech - Services (Analytics &amp; Support) - 04/2026</t>
  </si>
  <si>
    <t>OPP-10065</t>
  </si>
  <si>
    <t>ACC-1092</t>
  </si>
  <si>
    <t>Umbra Gaming</t>
  </si>
  <si>
    <t>Umbra Gaming - Content - Social - AOR - 01/2026</t>
  </si>
  <si>
    <t>OPP-10066</t>
  </si>
  <si>
    <t>Hazel Construction - DDM - Media - Managed Media (AOR) - 03/2026</t>
  </si>
  <si>
    <t>Hazel Construction - DDM - Data - Services &amp; Tech - Services (Analytics &amp; Support) - 03/2026</t>
  </si>
  <si>
    <t>Hazel Construction - Content - Social - AOR - 03/2026</t>
  </si>
  <si>
    <t>OPP-10067</t>
  </si>
  <si>
    <t>ACC-1075</t>
  </si>
  <si>
    <t>Kestrel Logistics</t>
  </si>
  <si>
    <t>Kestrel Logistics - Content - Platform - Website Creation &amp; Production - 02/2026</t>
  </si>
  <si>
    <t>OPP-10068</t>
  </si>
  <si>
    <t>ACC-1023</t>
  </si>
  <si>
    <t>Iris Delivery</t>
  </si>
  <si>
    <t>Iris Delivery - DDM - Data - Services &amp; Tech - Services (Analytics &amp; Support) - 04/2026</t>
  </si>
  <si>
    <t>126</t>
  </si>
  <si>
    <t>OPP-10069</t>
  </si>
  <si>
    <t>DDM - Media - Advisory</t>
  </si>
  <si>
    <t>OPP-10071</t>
  </si>
  <si>
    <t>ACC-1050</t>
  </si>
  <si>
    <t>Dune Ecommerce</t>
  </si>
  <si>
    <t>Dune Ecommerce - DDM - Data - Services &amp; Tech - Services (Analytics &amp; Support) - 03/2026</t>
  </si>
  <si>
    <t>Dune Ecommerce - Content - Platform - Performance, SEO, CRM &amp; Loyalty - 03/2026</t>
  </si>
  <si>
    <t>Dune Ecommerce - Content - Platform - Website Creation &amp; Production - 03/2026</t>
  </si>
  <si>
    <t>OPP-10070</t>
  </si>
  <si>
    <t>OPP-10072</t>
  </si>
  <si>
    <t>OPP-10074</t>
  </si>
  <si>
    <t>Basalt Mining - DDM - Data - Services &amp; Tech - Platforms Reselling - 04/2026</t>
  </si>
  <si>
    <t>35</t>
  </si>
  <si>
    <t>OPP-10073</t>
  </si>
  <si>
    <t>OPP-10075</t>
  </si>
  <si>
    <t>OPP-10076</t>
  </si>
  <si>
    <t>OPP-10077</t>
  </si>
  <si>
    <t>Raven Sports - DDM - Media - Managed Media (AOR) - 01/2026</t>
  </si>
  <si>
    <t>OPP-10078</t>
  </si>
  <si>
    <t>OPP-10079</t>
  </si>
  <si>
    <t>OPP-10080</t>
  </si>
  <si>
    <t>Nova Studios - DDM - Media - Creative - 02/2026</t>
  </si>
  <si>
    <t>OPP-10081</t>
  </si>
  <si>
    <t>Cobalt SaaS - DDM - Data - Services &amp; Tech - Services (Data Science/Data Eng.) - 01/2026</t>
  </si>
  <si>
    <t>OPP-10082</t>
  </si>
  <si>
    <t>Jojoba Cosmetics - DDM - Media - Managed Media (AOR) - 01/2026</t>
  </si>
  <si>
    <t>OPP-10083</t>
  </si>
  <si>
    <t>25</t>
  </si>
  <si>
    <t>OPP-10084</t>
  </si>
  <si>
    <t>OPP-10085</t>
  </si>
  <si>
    <t>ACC-1043</t>
  </si>
  <si>
    <t>Xanadu Media</t>
  </si>
  <si>
    <t>Xanadu Media - DDM - Commerce - Content - 04/2026</t>
  </si>
  <si>
    <t>68</t>
  </si>
  <si>
    <t>OPP-10086</t>
  </si>
  <si>
    <t>Zephyr Telecom - DDM - Data - Services &amp; Tech - Services (Analytics &amp; Support) - 04/2026</t>
  </si>
  <si>
    <t>61</t>
  </si>
  <si>
    <t>OPP-10087</t>
  </si>
  <si>
    <t>ACC-1061</t>
  </si>
  <si>
    <t>Nectarine Cosmetics</t>
  </si>
  <si>
    <t>Nectarine Cosmetics - DDM - Data - Automation - 04/2026</t>
  </si>
  <si>
    <t>OPP-10088</t>
  </si>
  <si>
    <t>Zephyr Telecom - DDM - Media - Managed Media (AOR) - 01/2026</t>
  </si>
  <si>
    <t>OPP-10089</t>
  </si>
  <si>
    <t>ACC-1105</t>
  </si>
  <si>
    <t>Velvet Cosmetics</t>
  </si>
  <si>
    <t>Velvet Cosmetics - Content - Platform - Performance, SEO, CRM &amp; Loyalty - 06/2026</t>
  </si>
  <si>
    <t>OPP-10090</t>
  </si>
  <si>
    <t>Basalt Mining - DDM - Data - Services &amp; Tech - Services (Analytics &amp; Support) - 05/2026</t>
  </si>
  <si>
    <t>Basalt Mining - DDM - Media - Managed Media (AOR) - 05/2026</t>
  </si>
  <si>
    <t>OPP-10091</t>
  </si>
  <si>
    <t>Nigella Security - DDM - Media - Managed Media (AOR) - 02/2026</t>
  </si>
  <si>
    <t>47</t>
  </si>
  <si>
    <t>Nigella Security - DDM - Media - Creative - 02/2026</t>
  </si>
  <si>
    <t>Nigella Security - DDM - CRM - Other - 02/2026</t>
  </si>
  <si>
    <t>DDM - CRM - Other</t>
  </si>
  <si>
    <t>OPP-10092</t>
  </si>
  <si>
    <t>OPP-10093</t>
  </si>
  <si>
    <t>ACC-1110</t>
  </si>
  <si>
    <t>Glacier Energy</t>
  </si>
  <si>
    <t>Glacier Energy - DDM - Media - Managed Media (AOR) - 06/2026</t>
  </si>
  <si>
    <t>OPP-10094</t>
  </si>
  <si>
    <t>OPP-10095</t>
  </si>
  <si>
    <t>ACC-1065</t>
  </si>
  <si>
    <t>15</t>
  </si>
  <si>
    <t>OPP-10096</t>
  </si>
  <si>
    <t>ACC-1037</t>
  </si>
  <si>
    <t>Acacia Telecom</t>
  </si>
  <si>
    <t>Acacia Telecom - Content - Social - AOR - 03/2026</t>
  </si>
  <si>
    <t>19</t>
  </si>
  <si>
    <t>OPP-10097</t>
  </si>
  <si>
    <t>ACC-1014</t>
  </si>
  <si>
    <t>Fern Agriculture</t>
  </si>
  <si>
    <t>Fern Agriculture - DDM - Media - Managed Media (AOR) - 04/2026</t>
  </si>
  <si>
    <t>Fern Agriculture - Media - GEO/AEO - 04/2026</t>
  </si>
  <si>
    <t>Media - GEO/AEO</t>
  </si>
  <si>
    <t>Fern Agriculture - DDM - Data - Services &amp; Tech - Services (Analytics &amp; Support) - 04/2026</t>
  </si>
  <si>
    <t>OPP-10098</t>
  </si>
  <si>
    <t>Nova Studios - DDM - Commerce - Content - 05/2026</t>
  </si>
  <si>
    <t>29</t>
  </si>
  <si>
    <t>OPP-10099</t>
  </si>
  <si>
    <t>ACC-1112</t>
  </si>
  <si>
    <t>Company 111</t>
  </si>
  <si>
    <t>Company 111 - DDM - Media - Managed Media (AOR) - 02/2026</t>
  </si>
  <si>
    <t>Company 111 - Content - Platform - Performance, SEO, CRM &amp; Loyalty - 02/2026</t>
  </si>
  <si>
    <t>Company 111 - DDM - Data - Services &amp; Tech - Services (Data Science/Data Eng.) - 02/2026</t>
  </si>
  <si>
    <t>Company 111 - Content - Platform - Service &amp; Maintenance - 02/2026</t>
  </si>
  <si>
    <t>Company 111 - DDM - CRM - Other - 02/2026</t>
  </si>
  <si>
    <t>OPP-10100</t>
  </si>
  <si>
    <t>Topaz Publishing - Content - Social - AOR - 04/2026</t>
  </si>
  <si>
    <t>13</t>
  </si>
  <si>
    <t>OPP-10101</t>
  </si>
  <si>
    <t>OPP-10103</t>
  </si>
  <si>
    <t>OPP-10104</t>
  </si>
  <si>
    <t>OPP-10102</t>
  </si>
  <si>
    <t>Saffron Fashion - DDM - Media - Managed Media (AOR) - 03/2026</t>
  </si>
  <si>
    <t>OPP-10106</t>
  </si>
  <si>
    <t>Iris Delivery - Content - Platform - Performance, SEO, CRM &amp; Loyalty - 03/2026</t>
  </si>
  <si>
    <t>40</t>
  </si>
  <si>
    <t>OPP-10105</t>
  </si>
  <si>
    <t>ACC-1053</t>
  </si>
  <si>
    <t>Hemlock Insurance</t>
  </si>
  <si>
    <t>Hemlock Insurance - DDM - Media - Activation - Platforms Reselling - 04/2026</t>
  </si>
  <si>
    <t>OPP-10107</t>
  </si>
  <si>
    <t>OPP-10108</t>
  </si>
  <si>
    <t>Kiwi Logistics - Content - Platform - Performance, SEO, CRM &amp; Loyalty - 03/2026</t>
  </si>
  <si>
    <t>OPP-10109</t>
  </si>
  <si>
    <t>ACC-1080</t>
  </si>
  <si>
    <t>Lavender Publishing</t>
  </si>
  <si>
    <t>Lavender Publishing - Content - Social - AOR - 04/2026</t>
  </si>
  <si>
    <t>Lavender Publishing - DDM - Media - Managed Media (AOR) - 04/2026</t>
  </si>
  <si>
    <t>OPP-10110</t>
  </si>
  <si>
    <t>ACC-1062</t>
  </si>
  <si>
    <t>Cedar Foods</t>
  </si>
  <si>
    <t>Cedar Foods - DDM - Data - Services &amp; Tech - Services (Analytics &amp; Support) - 06/2026</t>
  </si>
  <si>
    <t>Cedar Foods - Content - Platform - Performance, SEO, CRM &amp; Loyalty - 06/2026</t>
  </si>
  <si>
    <t>Cedar Foods - DDM - Media - Managed Media (AOR) - 06/2026</t>
  </si>
  <si>
    <t>Cedar Foods - DDM - Media - Creative - 06/2026</t>
  </si>
  <si>
    <t>Cedar Foods - Content - Social - AOR - 06/2026</t>
  </si>
  <si>
    <t>OPP-10111</t>
  </si>
  <si>
    <t>Cobalt SaaS - Content - Social - AOR - 01/2026</t>
  </si>
  <si>
    <t>OPP-10112</t>
  </si>
  <si>
    <t>ACC-1042</t>
  </si>
  <si>
    <t>Wisteria Publishing</t>
  </si>
  <si>
    <t>Wisteria Publishing - DDM - Data - Services &amp; Tech - Platforms Reselling - 02/2026</t>
  </si>
  <si>
    <t>OPP-10113</t>
  </si>
  <si>
    <t>OPP-10114</t>
  </si>
  <si>
    <t>Nova Studios - DDM - Media - Activation - Platforms Reselling - 04/2026</t>
  </si>
  <si>
    <t>7</t>
  </si>
  <si>
    <t>OPP-10115</t>
  </si>
  <si>
    <t>Nova Studios -  - 05/2026</t>
  </si>
  <si>
    <t>OPP-10116</t>
  </si>
  <si>
    <t>OPP-10117</t>
  </si>
  <si>
    <t>Acacia Telecom - DDM - Media - Creative - 03/2026</t>
  </si>
  <si>
    <t>OPP-10118</t>
  </si>
  <si>
    <t>ACC-1066</t>
  </si>
  <si>
    <t>Magnolia Retail</t>
  </si>
  <si>
    <t>Magnolia Retail - Content - Platform - Performance, SEO, CRM &amp; Loyalty - 05/2026</t>
  </si>
  <si>
    <t>Magnolia Retail - Content - Platform - Website Creation &amp; Production - 05/2026</t>
  </si>
  <si>
    <t>Magnolia Retail - DDM - Commerce - Content - 05/2026</t>
  </si>
  <si>
    <t>OPP-10119</t>
  </si>
  <si>
    <t>ACC-1021</t>
  </si>
  <si>
    <t>Violet Agriculture</t>
  </si>
  <si>
    <t>Violet Agriculture - Content - Platform - Performance, SEO, CRM &amp; Loyalty - 05/2026</t>
  </si>
  <si>
    <t>32</t>
  </si>
  <si>
    <t>OPP-10120</t>
  </si>
  <si>
    <t>OPP-10121</t>
  </si>
  <si>
    <t>ACC-1089</t>
  </si>
  <si>
    <t>Sage Streaming</t>
  </si>
  <si>
    <t>Sage Streaming - DDM - Data - Automation - 03/2026</t>
  </si>
  <si>
    <t>20</t>
  </si>
  <si>
    <t>OPP-10122</t>
  </si>
  <si>
    <t>Sage Streaming -  - 05/2026</t>
  </si>
  <si>
    <t>Qualified</t>
  </si>
  <si>
    <t>OPP-10123</t>
  </si>
  <si>
    <t>ACC-1101</t>
  </si>
  <si>
    <t>1,5</t>
  </si>
  <si>
    <t>OPP-10125</t>
  </si>
  <si>
    <t>ACC-1055</t>
  </si>
  <si>
    <t>Referral - Partner - Google Cloud</t>
  </si>
  <si>
    <t>OPP-10124</t>
  </si>
  <si>
    <t>Quartz Pharma - DDM - Media - Creative - 06/2026</t>
  </si>
  <si>
    <t>Quartz Pharma - Content - Social - AOR - 06/2026</t>
  </si>
  <si>
    <t>OPP-10126</t>
  </si>
  <si>
    <t>ACC-1009</t>
  </si>
  <si>
    <t>Usnea Apparel</t>
  </si>
  <si>
    <t>Usnea Apparel - DDM - Media - Activation - Platforms Reselling - 04/2026</t>
  </si>
  <si>
    <t>OPP-10127</t>
  </si>
  <si>
    <t>OPP-10128</t>
  </si>
  <si>
    <t>ACC-1074</t>
  </si>
  <si>
    <t>Tamarind Bank</t>
  </si>
  <si>
    <t>Tamarind Bank - DDM - CRM - Salesforce Marketing Cloud - 05/2026</t>
  </si>
  <si>
    <t>Prospecting - Current Client (DEPRECATED)</t>
  </si>
  <si>
    <t>55</t>
  </si>
  <si>
    <t>Tamarind Bank - DDM - Data - Services &amp; Tech - Services (Analytics &amp; Support) - 05/2026</t>
  </si>
  <si>
    <t>OPP-10129</t>
  </si>
  <si>
    <t>ACC-1113</t>
  </si>
  <si>
    <t>Company 112</t>
  </si>
  <si>
    <t>Diego Rocha</t>
  </si>
  <si>
    <t>Company 112 - DDM - Data - Services &amp; Tech - Platforms Reselling - 02/2026</t>
  </si>
  <si>
    <t>49</t>
  </si>
  <si>
    <t>OPP-10131</t>
  </si>
  <si>
    <t>ACC-1033</t>
  </si>
  <si>
    <t>Onyx Utilities</t>
  </si>
  <si>
    <t>Onyx Utilities - DDM - Media - Creative - 05/2026</t>
  </si>
  <si>
    <t>OPP-10132</t>
  </si>
  <si>
    <t>ACC-1078</t>
  </si>
  <si>
    <t>Aurora Retail</t>
  </si>
  <si>
    <t>Aurora Retail - Content - Social - AOR - 05/2026</t>
  </si>
  <si>
    <t>OPP-10130</t>
  </si>
  <si>
    <t>Sage Streaming - DDM - Data - Services &amp; Tech - Platforms Reselling - 04/2026</t>
  </si>
  <si>
    <t>OPP-10133</t>
  </si>
  <si>
    <t>OPP-10134</t>
  </si>
  <si>
    <t>Arrow Construction - DDM - Data - Services &amp; Tech - Services (Analytics &amp; Support) - 05/2026</t>
  </si>
  <si>
    <t>Arrow Construction - DDM - CRM - Other - 05/2026</t>
  </si>
  <si>
    <t>Arrow Construction - Content - Platform - Performance, SEO, CRM &amp; Loyalty - 05/2026</t>
  </si>
  <si>
    <t>OPP-10136</t>
  </si>
  <si>
    <t>ACC-1030</t>
  </si>
  <si>
    <t>Vertex Apparel</t>
  </si>
  <si>
    <t>Vertex Apparel - DDM - Media - Managed Media (AOR) - 04/2026</t>
  </si>
  <si>
    <t>OPP-10135</t>
  </si>
  <si>
    <t>Passthrough</t>
  </si>
  <si>
    <t>Inbound - Website (DEPRECATED)</t>
  </si>
  <si>
    <t>OPP-10137</t>
  </si>
  <si>
    <t>ACC-1068</t>
  </si>
  <si>
    <t>Poppy Media</t>
  </si>
  <si>
    <t>Poppy Media - DDM - Media - Managed Media (AOR) - 05/2026</t>
  </si>
  <si>
    <t>43</t>
  </si>
  <si>
    <t>OPP-10138</t>
  </si>
  <si>
    <t>ACC-1079</t>
  </si>
  <si>
    <t>Vervain Mobility</t>
  </si>
  <si>
    <t>Vervain Mobility - DDM - Data - Automation - 05/2026</t>
  </si>
  <si>
    <t>OPP-10139</t>
  </si>
  <si>
    <t>Quinoa Foods - DDM - Media - Managed Media (AOR) - 04/2026</t>
  </si>
  <si>
    <t>Quinoa Foods - DDM - Data - Services &amp; Tech - Services (Data Science/Data Eng.) - 04/2026</t>
  </si>
  <si>
    <t>OPP-10141</t>
  </si>
  <si>
    <t>ACC-1114</t>
  </si>
  <si>
    <t>Company 113</t>
  </si>
  <si>
    <t>Company 113 -  - 07/2026</t>
  </si>
  <si>
    <t>OPP-10140</t>
  </si>
  <si>
    <t>ACC-1071</t>
  </si>
  <si>
    <t>Pomelo Ecommerce</t>
  </si>
  <si>
    <t>Pomelo Ecommerce - Content - Platform - Performance, SEO, CRM &amp; Loyalty - 05/2026</t>
  </si>
  <si>
    <t>OPP-10142</t>
  </si>
  <si>
    <t>ACC-1039</t>
  </si>
  <si>
    <t>Xerus Mobility</t>
  </si>
  <si>
    <t>Xerus Mobility - DDM - Data - Services &amp; Tech - Services (Analytics &amp; Support) - 05/2026</t>
  </si>
  <si>
    <t>OPP-10143</t>
  </si>
  <si>
    <t>ACC-1028</t>
  </si>
  <si>
    <t>Xenon Realty</t>
  </si>
  <si>
    <t>Xenon Realty - DDM - Media - Creative - 05/2026</t>
  </si>
  <si>
    <t>Xenon Realty - DDM - Commerce - Content - 05/2026</t>
  </si>
  <si>
    <t>OPP-10144</t>
  </si>
  <si>
    <t>Linden Foods - DDM - Media - Creative - 05/2026</t>
  </si>
  <si>
    <t>Linden Foods - Content - Platform - Performance, SEO, CRM &amp; Loyalty - 05/2026</t>
  </si>
  <si>
    <t>Linden Foods - DDM - Commerce - Content - 05/2026</t>
  </si>
  <si>
    <t>OPP-10145</t>
  </si>
  <si>
    <t>ACC-1126</t>
  </si>
  <si>
    <t>Company 125</t>
  </si>
  <si>
    <t>Company 125 - DDM - Media - Managed Media (AOR) - 04/2026</t>
  </si>
  <si>
    <t>Company 125 - DDM - Media - Creative - 04/2026</t>
  </si>
  <si>
    <t>OPP-10146</t>
  </si>
  <si>
    <t>ACC-1116</t>
  </si>
  <si>
    <t>Company 115</t>
  </si>
  <si>
    <t>Company 115 - DDM - Media - Managed Media (AOR) - 05/2026</t>
  </si>
  <si>
    <t>OPP-10147</t>
  </si>
  <si>
    <t>ACC-1008</t>
  </si>
  <si>
    <t>Dogwood Pharma</t>
  </si>
  <si>
    <t>Dogwood Pharma - DDM - Data - Services &amp; Tech - Services (Analytics &amp; Support) - 05/2026</t>
  </si>
  <si>
    <t>OPP-10148</t>
  </si>
  <si>
    <t>Dune Ecommerce - Content - Platform - Performance, SEO, CRM &amp; Loyalty - 04/2026</t>
  </si>
  <si>
    <t>OPP-10149</t>
  </si>
  <si>
    <t>OPP-10150</t>
  </si>
  <si>
    <t>Acacia Telecom - DDM - Media - Managed Media (AOR) - 04/2026</t>
  </si>
  <si>
    <t>42</t>
  </si>
  <si>
    <t>Acacia Telecom - DDM - Data - Services &amp; Tech - Services (Analytics &amp; Support) - 04/2026</t>
  </si>
  <si>
    <t>Acacia Telecom - Content - Platform - Performance, SEO, CRM &amp; Loyalty - 04/2026</t>
  </si>
  <si>
    <t>OPP-10151</t>
  </si>
  <si>
    <t>Kestrel Logistics - Content - Platform - Website Creation &amp; Production - 04/2026</t>
  </si>
  <si>
    <t>OPP-10152</t>
  </si>
  <si>
    <t>ACC-1117</t>
  </si>
  <si>
    <t>Company 116</t>
  </si>
  <si>
    <t>Company 116 - DDM - Media - Activation - Platforms Reselling - 06/2026</t>
  </si>
  <si>
    <t>OPP-10153</t>
  </si>
  <si>
    <t>ACC-1118</t>
  </si>
  <si>
    <t>Company 117</t>
  </si>
  <si>
    <t>Company 117 - DDM - Media - Activation - Platforms Reselling - 03/2026</t>
  </si>
  <si>
    <t>OPP-10154</t>
  </si>
  <si>
    <t>ACC-1119</t>
  </si>
  <si>
    <t>Company 118</t>
  </si>
  <si>
    <t>Company 118 - Content - Platform - Performance, SEO, CRM &amp; Loyalty - 05/2026</t>
  </si>
  <si>
    <t>Company 118 - DDM - Media - Managed Media (AOR) - 05/2026</t>
  </si>
  <si>
    <t>Company 118 - DDM - Data - Services &amp; Tech - Services (Analytics &amp; Support) - 05/2026</t>
  </si>
  <si>
    <t>Company 118 - DDM - Media - Creative - 05/2026</t>
  </si>
  <si>
    <t>OPP-10155</t>
  </si>
  <si>
    <t>Nova Studios - DDM - Media - Managed Media (AOR) - 05/2026</t>
  </si>
  <si>
    <t>OPP-10156</t>
  </si>
  <si>
    <t>OPP-10157</t>
  </si>
  <si>
    <t>Dune Ecommerce - Content - Platform - Website Creation &amp; Production - 05/2026</t>
  </si>
  <si>
    <t>31</t>
  </si>
  <si>
    <t>OPP-10158</t>
  </si>
  <si>
    <t>ACC-1098</t>
  </si>
  <si>
    <t>Delta Streaming</t>
  </si>
  <si>
    <t>Delta Streaming - Content - Platform - Website Creation &amp; Production - 04/2026</t>
  </si>
  <si>
    <t>OPP-10159</t>
  </si>
  <si>
    <t>ACC-1111</t>
  </si>
  <si>
    <t>Walnut Manufacturing</t>
  </si>
  <si>
    <t>Walnut Manufacturing - DDM - Media - Managed Media (AOR) - 05/2026</t>
  </si>
  <si>
    <t>Walnut Manufacturing - DDM - Data - Services &amp; Tech - Services (Analytics &amp; Support) - 05/2026</t>
  </si>
  <si>
    <t>Walnut Manufacturing - Content - Platform - Performance, SEO, CRM &amp; Loyalty - 05/2026</t>
  </si>
  <si>
    <t>Walnut Manufacturing - Content - Social - AOR - 05/2026</t>
  </si>
  <si>
    <t>OPP-10160</t>
  </si>
  <si>
    <t>OPP-10161</t>
  </si>
  <si>
    <t>Arrow Construction - DDM - Media - Managed Media (AOR) - 04/2026</t>
  </si>
  <si>
    <t>41</t>
  </si>
  <si>
    <t>OPP-10162</t>
  </si>
  <si>
    <t>Violet Agriculture - DDM - Media - Activation - Platforms Reselling - 03/2026</t>
  </si>
  <si>
    <t>OPP-10163</t>
  </si>
  <si>
    <t>Rowan Energy - DDM - Media - Managed Media (AOR) - 03/2026</t>
  </si>
  <si>
    <t>OPP-10164</t>
  </si>
  <si>
    <t>Rowan Energy - DDM - Media - Creative - 03/2026</t>
  </si>
  <si>
    <t>Rowan Energy - DDM - Commerce - Content - 03/2026</t>
  </si>
  <si>
    <t>Rowan Energy - DDM - Data - Services &amp; Tech - Services (Data Science/Data Eng.) - 03/2026</t>
  </si>
  <si>
    <t>OPP-10165</t>
  </si>
  <si>
    <t>ACC-1090</t>
  </si>
  <si>
    <t>OPP-10168</t>
  </si>
  <si>
    <t>ACC-1069</t>
  </si>
  <si>
    <t>Honeysuckle Travel</t>
  </si>
  <si>
    <t>Honeysuckle Travel - DDM - Media - Managed Media (AOR) - 05/2026</t>
  </si>
  <si>
    <t>18</t>
  </si>
  <si>
    <t>Honeysuckle Travel - DDM - Data - Services &amp; Tech - Services (Analytics &amp; Support) - 05/2026</t>
  </si>
  <si>
    <t>Honeysuckle Travel - DDM - Media - Creative - 05/2026</t>
  </si>
  <si>
    <t>Honeysuckle Travel - DDM - Commerce - Content - 05/2026</t>
  </si>
  <si>
    <t>OPP-10167</t>
  </si>
  <si>
    <t>ACC-1003</t>
  </si>
  <si>
    <t>Ibis Mobility</t>
  </si>
  <si>
    <t>Ibis Mobility - DDM - Media - Managed Media (AOR) - 05/2026</t>
  </si>
  <si>
    <t>OPP-10166</t>
  </si>
  <si>
    <t>Magnolia Retail - DDM - Media - Advisory - 05/2026</t>
  </si>
  <si>
    <t>39</t>
  </si>
  <si>
    <t>OPP-10169</t>
  </si>
  <si>
    <t>ACC-1017</t>
  </si>
  <si>
    <t>Quince Travel</t>
  </si>
  <si>
    <t>Quince Travel - Content - Platform - Performance, SEO, CRM &amp; Loyalty - 04/2026</t>
  </si>
  <si>
    <t>Quince Travel - Content - Platform - Service &amp; Maintenance - 04/2026</t>
  </si>
  <si>
    <t>Quince Travel - DDM - Commerce - Content - 04/2026</t>
  </si>
  <si>
    <t>OPP-10170</t>
  </si>
  <si>
    <t>ACC-1088</t>
  </si>
  <si>
    <t>Indigo Utilities</t>
  </si>
  <si>
    <t>Indigo Utilities - DDM - Media - Creative - 03/2026</t>
  </si>
  <si>
    <t>OPP-10171</t>
  </si>
  <si>
    <t>ACC-1091</t>
  </si>
  <si>
    <t>Wren Chemicals</t>
  </si>
  <si>
    <t>Wren Chemicals - Content - Platform - Performance, SEO, CRM &amp; Loyalty - 06/2026</t>
  </si>
  <si>
    <t>Wren Chemicals - DDM - Commerce - Content - 06/2026</t>
  </si>
  <si>
    <t>Wren Chemicals - Content - Platform - Website Creation &amp; Production - 06/2026</t>
  </si>
  <si>
    <t>OPP-10172</t>
  </si>
  <si>
    <t>ACC-1085</t>
  </si>
  <si>
    <t>Yumberry Mobile</t>
  </si>
  <si>
    <t>Yumberry Mobile - DDM - Media - Managed Media (AOR) - 05/2026</t>
  </si>
  <si>
    <t>Yumberry Mobile - DDM - Media - Creative - 05/2026</t>
  </si>
  <si>
    <t>Yumberry Mobile - DDM - Data - Services &amp; Tech - Services (Analytics &amp; Support) - 05/2026</t>
  </si>
  <si>
    <t>Yumberry Mobile - Content - Platform - Performance, SEO, CRM &amp; Loyalty - 05/2026</t>
  </si>
  <si>
    <t>OPP-10173</t>
  </si>
  <si>
    <t>ACC-1120</t>
  </si>
  <si>
    <t>Company 119</t>
  </si>
  <si>
    <t>Company 119 - DDM - Media - Creative - 05/2026</t>
  </si>
  <si>
    <t>Company 119 - DDM - Media - Managed Media (AOR) - 05/2026</t>
  </si>
  <si>
    <t>Company 119 - DDM - Data - Services &amp; Tech - Services (Analytics &amp; Support) - 05/2026</t>
  </si>
  <si>
    <t>OPP-10174</t>
  </si>
  <si>
    <t>ACC-1006</t>
  </si>
  <si>
    <t>Willow Beauty</t>
  </si>
  <si>
    <t>Willow Beauty - Content - Platform - Performance, SEO, CRM &amp; Loyalty - 06/2026</t>
  </si>
  <si>
    <t>OPP-10175</t>
  </si>
  <si>
    <t>ACC-1007</t>
  </si>
  <si>
    <t>Anise Beauty</t>
  </si>
  <si>
    <t>Anise Beauty - DDM - Media - Managed Media (AOR) - 05/2026</t>
  </si>
  <si>
    <t>Anise Beauty - DDM - Data - Services &amp; Tech - Services (Analytics &amp; Support) - 05/2026</t>
  </si>
  <si>
    <t>OPP-10176</t>
  </si>
  <si>
    <t>ACC-1102</t>
  </si>
  <si>
    <t>Fjord Travel</t>
  </si>
  <si>
    <t>Fjord Travel - DDM - Media - Managed Media (AOR) - 05/2026</t>
  </si>
  <si>
    <t>Fjord Travel - DDM - Data - Services &amp; Tech - Services (Analytics &amp; Support) - 05/2026</t>
  </si>
  <si>
    <t>OPP-10177</t>
  </si>
  <si>
    <t>Arrow Construction -  - 06/2026</t>
  </si>
  <si>
    <t>OPP-10178</t>
  </si>
  <si>
    <t>Hemlock Insurance - DDM - Data - Services &amp; Tech - Services (Analytics &amp; Support) - 06/2026</t>
  </si>
  <si>
    <t>OPP-10179</t>
  </si>
  <si>
    <t>28</t>
  </si>
  <si>
    <t>Zephyr Telecom - DDM - Media - Managed Media (AOR) - 04/2026</t>
  </si>
  <si>
    <t>OPP-10180</t>
  </si>
  <si>
    <t>ACC-1054</t>
  </si>
  <si>
    <t>Kite Mobile</t>
  </si>
  <si>
    <t>Kite Mobile - DDM - Media - Managed Media (AOR) - 05/2026</t>
  </si>
  <si>
    <t>OPP-10181</t>
  </si>
  <si>
    <t>ACC-1058</t>
  </si>
  <si>
    <t>Summit Auto</t>
  </si>
  <si>
    <t>Summit Auto - DDM - Data - Automation - 06/2026</t>
  </si>
  <si>
    <t>OPP-10182</t>
  </si>
  <si>
    <t>Acacia Telecom - DDM - Media - Activation - Platforms Reselling - 07/2026</t>
  </si>
  <si>
    <t>OPP-10183</t>
  </si>
  <si>
    <t>Dune Ecommerce - Content - Platform - Performance, SEO, CRM &amp; Loyalty - 05/2026</t>
  </si>
  <si>
    <t>Dune Ecommerce - DDM - Data - Services &amp; Tech - Services (Analytics &amp; Support) - 05/2026</t>
  </si>
  <si>
    <t>OPP-10184</t>
  </si>
  <si>
    <t>ACC-1121</t>
  </si>
  <si>
    <t>Company 120</t>
  </si>
  <si>
    <t>Company 120 - DDM - Data - Consulting - 05/2026</t>
  </si>
  <si>
    <t>DDM - Data - Consulting</t>
  </si>
  <si>
    <t>OPP-10185</t>
  </si>
  <si>
    <t>Hazel Construction - DDM - Media - Managed Media (AOR) - 04/2026</t>
  </si>
  <si>
    <t>OPP-10186</t>
  </si>
  <si>
    <t>Saffron Fashion - Content - Platform - Performance, SEO, CRM &amp; Loyalty - 05/2026</t>
  </si>
  <si>
    <t>OPP-10187</t>
  </si>
  <si>
    <t>Harbor Grocers - DDM - Media - Creative - 04/2026</t>
  </si>
  <si>
    <t>Harbor Grocers - DDM - Commerce - Content - 04/2026</t>
  </si>
  <si>
    <t>OPP-10188</t>
  </si>
  <si>
    <t>ACC-1032</t>
  </si>
  <si>
    <t>Zedoary Chemicals</t>
  </si>
  <si>
    <t>Zedoary Chemicals - DDM - Data - Services &amp; Tech - Platforms Reselling - 05/2026</t>
  </si>
  <si>
    <t>OPP-10189</t>
  </si>
  <si>
    <t>ACC-1020</t>
  </si>
  <si>
    <t>Zucchini Logistics</t>
  </si>
  <si>
    <t>Zucchini Logistics - DDM - Data - Automation - 03/2026</t>
  </si>
  <si>
    <t>OPP-10191</t>
  </si>
  <si>
    <t>OPP-10190</t>
  </si>
  <si>
    <t>ACC-1047</t>
  </si>
  <si>
    <t>Oregano Air</t>
  </si>
  <si>
    <t>Oregano Air - DDM - Media - Managed Media (AOR) - 05/2026</t>
  </si>
  <si>
    <t>Oregano Air - DDM - Media - Activation - Platforms Reselling - 05/2026</t>
  </si>
  <si>
    <t>OPP-10192</t>
  </si>
  <si>
    <t>ACC-1034</t>
  </si>
  <si>
    <t>Ume Insurance</t>
  </si>
  <si>
    <t>Ume Insurance - DDM - Media - Managed Media (AOR) - 05/2026</t>
  </si>
  <si>
    <t>Ume Insurance - DDM - Data - Services &amp; Tech - Services (Data Science/Data Eng.) - 05/2026</t>
  </si>
  <si>
    <t>OPP-10193</t>
  </si>
  <si>
    <t>ACC-1122</t>
  </si>
  <si>
    <t>Company 121</t>
  </si>
  <si>
    <t>Company 121 - Content - Platform - Website Creation &amp; Production - 05/2026</t>
  </si>
  <si>
    <t>OPP-10194</t>
  </si>
  <si>
    <t>ACC-1083</t>
  </si>
  <si>
    <t>Umber Design</t>
  </si>
  <si>
    <t>Umber Design - Content - Platform - Website Creation &amp; Production - 05/2026</t>
  </si>
  <si>
    <t>Marketing - Lead Scoring/Nurturing</t>
  </si>
  <si>
    <t>OPP-10195</t>
  </si>
  <si>
    <t>Magnolia Retail - DDM - Commerce - Content - 04/2026</t>
  </si>
  <si>
    <t>OPP-10196</t>
  </si>
  <si>
    <t>OPP-10197</t>
  </si>
  <si>
    <t>ACC-1123</t>
  </si>
  <si>
    <t>Company 122</t>
  </si>
  <si>
    <t>Thiago Freitas</t>
  </si>
  <si>
    <t>Company 122 - DDM - Media - Managed Media (AOR) - 05/2026</t>
  </si>
  <si>
    <t>OPP-10198</t>
  </si>
  <si>
    <t>Magnolia Retail - DDM - Data - Services &amp; Tech - Services (Analytics &amp; Support) - 04/2026</t>
  </si>
  <si>
    <t>OPP-10199</t>
  </si>
  <si>
    <t>ACC-1048</t>
  </si>
  <si>
    <t>Ginkgo Utilities</t>
  </si>
  <si>
    <t>Ginkgo Utilities - DDM - Media - Managed Media (AOR) - 06/2026</t>
  </si>
  <si>
    <t>0</t>
  </si>
  <si>
    <t>OPP-10200</t>
  </si>
  <si>
    <t>Zephyr Telecom -  - 06/2026</t>
  </si>
  <si>
    <t>OPP-10201</t>
  </si>
  <si>
    <t>OPP-10202</t>
  </si>
  <si>
    <t>Arrow Construction - DDM - Media - Managed Media (AOR) - 06/2026</t>
  </si>
  <si>
    <t>OPP-10203</t>
  </si>
  <si>
    <t>Onyx Utilities - Content - Social - AOR - 05/2026</t>
  </si>
  <si>
    <t>OPP-10204</t>
  </si>
  <si>
    <t>Ibis Mobility - DDM - Media - Activation - Platforms Reselling - 05/2026</t>
  </si>
  <si>
    <t>OPP-10205</t>
  </si>
  <si>
    <t>Company 113 - DDM - Media - Managed Media (AOR) - 04/2026</t>
  </si>
  <si>
    <t>OPP-10206</t>
  </si>
  <si>
    <t>ACC-1124</t>
  </si>
  <si>
    <t>Company 123</t>
  </si>
  <si>
    <t>Company 123 -  - 05/2026</t>
  </si>
  <si>
    <t>OPP-10207</t>
  </si>
  <si>
    <t>Xanadu Media - DDM - Commerce - Content - 06/2026</t>
  </si>
  <si>
    <t>Xanadu Media - Content - Platform - Performance, SEO, CRM &amp; Loyalty - 06/2026</t>
  </si>
  <si>
    <t>Xanadu Media - Content - Platform - Website Creation &amp; Production - 06/2026</t>
  </si>
  <si>
    <t>Xanadu Media - DDM - Media - Managed Media (AOR) - 06/2026</t>
  </si>
  <si>
    <t>OPP-10208</t>
  </si>
  <si>
    <t>Hemlock Insurance - Content - Platform - Performance, SEO, CRM &amp; Loyalty - 05/2026</t>
  </si>
  <si>
    <t>OPP-10209</t>
  </si>
  <si>
    <t>ACC-1082</t>
  </si>
  <si>
    <t>Thyme SaaS</t>
  </si>
  <si>
    <t>Thyme SaaS - DDM - Media - Activation - Platforms Reselling - 04/2026</t>
  </si>
  <si>
    <t>OPP-10210</t>
  </si>
  <si>
    <t>ACC-1125</t>
  </si>
  <si>
    <t>Company 124</t>
  </si>
  <si>
    <t>Company 124 -  - 05/2026</t>
  </si>
  <si>
    <t>OPP-10211</t>
  </si>
  <si>
    <t>ACC-1001</t>
  </si>
  <si>
    <t>Eucalyptus Fintech</t>
  </si>
  <si>
    <t>Eucalyptus Fintech -  - 04/2026</t>
  </si>
  <si>
    <t>OPP-10212</t>
  </si>
  <si>
    <t>Hazel Construction - Content - Social - AOR - 05/2026</t>
  </si>
  <si>
    <t>OPP-10213</t>
  </si>
  <si>
    <t>Willow Beauty - DDM - Media - Creative - 04/2026</t>
  </si>
  <si>
    <t>Willow Beauty - DDM - Commerce - Content - 04/2026</t>
  </si>
  <si>
    <t>OPP-10214</t>
  </si>
  <si>
    <t>ACC-1103</t>
  </si>
  <si>
    <t>Wormwood Bank</t>
  </si>
  <si>
    <t>Wormwood Bank - DDM - Media - Managed Media (AOR) - 04/2026</t>
  </si>
  <si>
    <t>OPP-10215</t>
  </si>
  <si>
    <t>ACC-1077</t>
  </si>
  <si>
    <t>Mesa Electronics</t>
  </si>
  <si>
    <t>Vinicius Cardoso</t>
  </si>
  <si>
    <t>Mesa Electronics -  - 03/2026</t>
  </si>
  <si>
    <t>OPP-10216</t>
  </si>
  <si>
    <t>Zinnia Apparel - DDM - Media - Managed Media (AOR) - 04/2026</t>
  </si>
  <si>
    <t>OPP-10217</t>
  </si>
  <si>
    <t>Orion Bank - DDM - Commerce - Content - 04/2026</t>
  </si>
  <si>
    <t>Existing Client - Account/Growth Activity</t>
  </si>
  <si>
    <t>OPP-10218</t>
  </si>
  <si>
    <t>ACC-1104</t>
  </si>
  <si>
    <t>Juno Health</t>
  </si>
  <si>
    <t>Juno Health - DDM - Media - Activation - Platforms Reselling - 04/2026</t>
  </si>
  <si>
    <t>OPP-10219</t>
  </si>
  <si>
    <t>Dune Ecommerce - DDM - Media - Activation - Platforms Reselling - 06/2026</t>
  </si>
  <si>
    <t>OPP-10220</t>
  </si>
  <si>
    <t>Nigella Security - DDM - Media - Managed Media (AOR) - 05/2026</t>
  </si>
  <si>
    <t>OPP-10221</t>
  </si>
  <si>
    <t>Honeysuckle Travel - Content - Social - AOR - 05/2026</t>
  </si>
  <si>
    <t>OPP-10222</t>
  </si>
  <si>
    <t>ACC-1067</t>
  </si>
  <si>
    <t>Echo Insurance</t>
  </si>
  <si>
    <t>Echo Insurance -  - 06/2026</t>
  </si>
  <si>
    <t>OPP-10224</t>
  </si>
  <si>
    <t>Wren Chemicals -  - 05/2026</t>
  </si>
  <si>
    <t>OPP-10225</t>
  </si>
  <si>
    <t>Sage Streaming - DDM - Media - Managed Media (AOR) - 05/2026</t>
  </si>
  <si>
    <t>OPP-10223</t>
  </si>
  <si>
    <t>ACC-1052</t>
  </si>
  <si>
    <t>Gravel Manufacturing</t>
  </si>
  <si>
    <t>Gravel Manufacturing - DDM - Commerce - Content - 06/2026</t>
  </si>
  <si>
    <t>OPP-10226</t>
  </si>
  <si>
    <t>Saffron Fashion - DDM - Media - Managed Media (AOR) - 06/2026</t>
  </si>
  <si>
    <t>OPP-10227</t>
  </si>
  <si>
    <t>Zephyr Telecom - Content - Platform - Performance, SEO, CRM &amp; Loyalty - 06/2026</t>
  </si>
  <si>
    <t>OPP-10228</t>
  </si>
  <si>
    <t>ACC-1011</t>
  </si>
  <si>
    <t>Cardamom Design</t>
  </si>
  <si>
    <t>Cardamom Design - DDM - Media - Creative - 06/2026</t>
  </si>
  <si>
    <t>OPP-10229</t>
  </si>
  <si>
    <t>Pyrite Fintech - DDM - Data - Services &amp; Tech - Platforms Reselling - 04/2026</t>
  </si>
  <si>
    <t>OPP-10230</t>
  </si>
  <si>
    <t>Cedar Foods -  - 06/2026</t>
  </si>
  <si>
    <t>Website - Sales Form</t>
  </si>
  <si>
    <t>OPP-10231</t>
  </si>
  <si>
    <t>Company 121 - DDM - Media - Managed Media (AOR) - 05/2026</t>
  </si>
  <si>
    <t>Company 121 - DDM - Data - Services &amp; Tech - Services (Analytics &amp; Support) - 05/2026</t>
  </si>
  <si>
    <t>OPP-10232</t>
  </si>
  <si>
    <t>Arrow Construction - DDM - Media - Creative - 06/2026</t>
  </si>
  <si>
    <t>OPP-10235</t>
  </si>
  <si>
    <t>Zephyr Telecom - DDM - Media - Managed Media (AOR) - 06/2026</t>
  </si>
  <si>
    <t>OPP-10234</t>
  </si>
  <si>
    <t>Zephyr Telecom - Content - Social - Project - 07/2026</t>
  </si>
  <si>
    <t>OPP-10233</t>
  </si>
  <si>
    <t>Saffron Fashion - DDM - Data - Services &amp; Tech - Services (Analytics &amp; Support) - 06/2026</t>
  </si>
  <si>
    <t>OPP-10236</t>
  </si>
  <si>
    <t>Tamarind Bank - DDM - CRM - Salesforce Marketing Cloud - 06/2026</t>
  </si>
  <si>
    <t>OPP-10237</t>
  </si>
  <si>
    <t>Zinnia Apparel - DDM - Media - Managed Media (AOR) - 06/2026</t>
  </si>
  <si>
    <t>OPP-10238</t>
  </si>
  <si>
    <t>OPP-10239</t>
  </si>
  <si>
    <t>OPP-10240</t>
  </si>
  <si>
    <t>Kestrel Logistics - Content - Platform - Website Creation &amp; Production - 05/2026</t>
  </si>
  <si>
    <t>OPP-10242</t>
  </si>
  <si>
    <t>ACC-1115</t>
  </si>
  <si>
    <t>Company 114</t>
  </si>
  <si>
    <t>Company 114 - DDM - Media - Managed Media (AOR) - 06/2026</t>
  </si>
  <si>
    <t>Company 114 - Content - Platform - Performance, SEO, CRM &amp; Loyalty - 06/2026</t>
  </si>
  <si>
    <t>OPP-10243</t>
  </si>
  <si>
    <t>Thistle Tech - DDM - Data - Services &amp; Tech - Services (Analytics &amp; Support) - 06/2026</t>
  </si>
  <si>
    <t>OPP-10241</t>
  </si>
  <si>
    <t>ACC-1081</t>
  </si>
  <si>
    <t>Yarrow Health</t>
  </si>
  <si>
    <t>Yarrow Health - DDM - Media - Managed Media (AOR) - 06/2026</t>
  </si>
  <si>
    <t>Yarrow Health - Content - Platform - Performance, SEO, CRM &amp; Loyalty - 06/2026</t>
  </si>
  <si>
    <t>Yarrow Health - DDM - Commerce - Content - 06/2026</t>
  </si>
  <si>
    <t>OPP-10245</t>
  </si>
  <si>
    <t>Ginger Realty - DDM - Media - Managed Media (AOR) - 07/2026</t>
  </si>
  <si>
    <t>OPP-10244</t>
  </si>
  <si>
    <t>Linden Foods - DDM - Media - Managed Media (AOR) - 07/2026</t>
  </si>
  <si>
    <t>OPP-10248</t>
  </si>
  <si>
    <t>ACC-1127</t>
  </si>
  <si>
    <t>Company 126</t>
  </si>
  <si>
    <t>Company 126 -  - 05/2026</t>
  </si>
  <si>
    <t>OPP-10246</t>
  </si>
  <si>
    <t>Saffron Fashion -  - 06/2026</t>
  </si>
  <si>
    <t>OPP-10249</t>
  </si>
  <si>
    <t>ACC-1093</t>
  </si>
  <si>
    <t>Moringa Health</t>
  </si>
  <si>
    <t>Moringa Health - DDM - Media - Managed Media (AOR) - 06/2026</t>
  </si>
  <si>
    <t>OPP-10247</t>
  </si>
  <si>
    <t>ACC-1073</t>
  </si>
  <si>
    <t>Lotus Beverages</t>
  </si>
  <si>
    <t>Lotus Beverages -  - 05/2026</t>
  </si>
  <si>
    <t>OPP-10250</t>
  </si>
  <si>
    <t>ACC-1018</t>
  </si>
  <si>
    <t>Ivy Cloud</t>
  </si>
  <si>
    <t>Ivy Cloud - DDM - Media - Managed Media (AOR) - 07/2026</t>
  </si>
  <si>
    <t>OPP-10252</t>
  </si>
  <si>
    <t>ACC-1013</t>
  </si>
  <si>
    <t>Patchouli Energy</t>
  </si>
  <si>
    <t>Patchouli Energy -  - 07/2026</t>
  </si>
  <si>
    <t>OPP-10251</t>
  </si>
  <si>
    <t>ACC-1097</t>
  </si>
  <si>
    <t>Quince Pharma</t>
  </si>
  <si>
    <t>Quince Pharma - DDM - Data - Services &amp; Tech - Platforms Reselling - 06/2026</t>
  </si>
  <si>
    <t>OPP-10254</t>
  </si>
  <si>
    <t>OPP-10253</t>
  </si>
  <si>
    <t>ACC-1087</t>
  </si>
  <si>
    <t>Mulberry Electronics</t>
  </si>
  <si>
    <t>Mulberry Electronics -  - 05/2026</t>
  </si>
  <si>
    <t>OPP-10255</t>
  </si>
  <si>
    <t>ACC-1128</t>
  </si>
  <si>
    <t>Company 127</t>
  </si>
  <si>
    <t>Company 127 - DDM - Media - Managed Media (AOR) - 05/2026</t>
  </si>
  <si>
    <t>Company 127 - Content - Social - AOR - 05/2026</t>
  </si>
  <si>
    <t>Company 127 - DDM - Media - Creative - 05/2026</t>
  </si>
  <si>
    <t>Company 127 - DDM - Data - Services &amp; Tech - Services (Analytics &amp; Support) - 05/2026</t>
  </si>
  <si>
    <t>OPP-10256</t>
  </si>
  <si>
    <t>Zephyr Telecom - DDM - Media - Managed Media (AOR) - 05/2026</t>
  </si>
  <si>
    <t>OPP-10258</t>
  </si>
  <si>
    <t>ACC-1130</t>
  </si>
  <si>
    <t>Company 129</t>
  </si>
  <si>
    <t>Company 129 -  - 05/2026</t>
  </si>
  <si>
    <t>OPP-10257</t>
  </si>
  <si>
    <t>ACC-1129</t>
  </si>
  <si>
    <t>Company 128</t>
  </si>
  <si>
    <t>Company 128 -  - 06/2026</t>
  </si>
  <si>
    <t>OPP-10259</t>
  </si>
  <si>
    <t>ACC-1002</t>
  </si>
  <si>
    <t>Birch Studios</t>
  </si>
  <si>
    <t>Gabriela Nunes</t>
  </si>
  <si>
    <t>Birch Studios - DDM - Media - Managed Media (AOR) - 05/2026</t>
  </si>
  <si>
    <t>USD</t>
  </si>
  <si>
    <t>OPP-10260</t>
  </si>
  <si>
    <t>ACC-1060</t>
  </si>
  <si>
    <t>Fennel Footwear</t>
  </si>
  <si>
    <t>Fennel Footwear - DDM - Data - Services &amp; Tech - Platforms Reselling - 05/2026</t>
  </si>
  <si>
    <t>OPP-10261</t>
  </si>
  <si>
    <t>Rosemary Auto -  - 07/2026</t>
  </si>
  <si>
    <t>Lead_Source_Category</t>
  </si>
  <si>
    <t>São Paulo, BR</t>
  </si>
  <si>
    <t xml:space="preserve">Inbound - Current Client (DEPRECATED) </t>
  </si>
  <si>
    <t xml:space="preserve">Referral - Personal </t>
  </si>
  <si>
    <t>Rótulos de Linha</t>
  </si>
  <si>
    <t>Total Geral</t>
  </si>
  <si>
    <t>Soma de Total_Product_Amount</t>
  </si>
  <si>
    <t>Soma de Amount</t>
  </si>
  <si>
    <t>Customer Success</t>
  </si>
  <si>
    <t>Event</t>
  </si>
  <si>
    <t>Inbound</t>
  </si>
  <si>
    <t>Referral</t>
  </si>
  <si>
    <t>Unknown</t>
  </si>
  <si>
    <t>Contagem de Opportunity_ID</t>
  </si>
  <si>
    <t>São Carlos, BR</t>
  </si>
  <si>
    <t>Rótulos de Coluna</t>
  </si>
  <si>
    <t>Média de Amount</t>
  </si>
  <si>
    <t>Business_Type</t>
  </si>
  <si>
    <t>New Business</t>
  </si>
  <si>
    <t>Upsell</t>
  </si>
  <si>
    <t>Mix New Business vs Upsell ao Longo do Tempo</t>
  </si>
  <si>
    <t>01/2026</t>
  </si>
  <si>
    <t>02/2026</t>
  </si>
  <si>
    <t>03/2026</t>
  </si>
  <si>
    <t>04/2026</t>
  </si>
  <si>
    <t>05/2026</t>
  </si>
  <si>
    <t>06/2026</t>
  </si>
  <si>
    <t>07/2026</t>
  </si>
  <si>
    <t>12/2026</t>
  </si>
  <si>
    <t>09/2026</t>
  </si>
  <si>
    <t>11/2026</t>
  </si>
  <si>
    <t>10/2026</t>
  </si>
  <si>
    <t>08/2026</t>
  </si>
  <si>
    <t>Métrica</t>
  </si>
  <si>
    <t>Valor</t>
  </si>
  <si>
    <t>Idade média do pipeline</t>
  </si>
  <si>
    <t>79 dias</t>
  </si>
  <si>
    <t>Participação (%)</t>
  </si>
  <si>
    <t>Basil Sports - Content - Platform - Performance, SEO, CRM &amp; Loyalty - 03/2026</t>
  </si>
  <si>
    <t>Ember Hospitality - DDM - Data - Services &amp; Tech - Services (Analytics &amp; Support) - 04/2026</t>
  </si>
  <si>
    <t>Ember Hospitality - Content - Platform - Performance, SEO, CRM &amp; Loyalty - 04/2026</t>
  </si>
  <si>
    <t>Ember Hospitality - Content - Platform - Service &amp; Maintenance - 04/2026</t>
  </si>
  <si>
    <t>Ember Hospitality - DDM - Media - Advisory - 04/2026</t>
  </si>
  <si>
    <t>Filbert Sports - DDM - Data - Automation - 06/2026</t>
  </si>
  <si>
    <t>Filbert Sports -  - 07/2026</t>
  </si>
  <si>
    <t>Jasper Security - Content - Platform - Performance, SEO, CRM &amp; Loyalty - 05/2026</t>
  </si>
  <si>
    <t>Jasper Security - DDM - Media - Managed Media (AOR) - 05/2026</t>
  </si>
  <si>
    <t>Jasper Security - DDM - Data - Services &amp; Tech - Services (Analytics &amp; Support) - 05/2026</t>
  </si>
  <si>
    <t>Jasper Security - DDM - Media - Creative - 05/2026</t>
  </si>
  <si>
    <t>Jasper Security - DDM - Data - Services &amp; Tech - Services (Data Science/Data Eng.) - 05/2026</t>
  </si>
  <si>
    <t>Larkspur Foods - DDM - Media - Managed Media (AOR) - 07/2026</t>
  </si>
  <si>
    <t>Larkspur Foods - Content - Platform - Website Creation &amp; Production - 05/2026</t>
  </si>
  <si>
    <t>Larkspur Foods - DDM - Commerce - Content - 05/2026</t>
  </si>
  <si>
    <t>Larkspur Foods - DDM - Media - Creative - 05/2026</t>
  </si>
  <si>
    <t>Olive Hospitality - DDM - Media - Activation - Platforms Reselling - 04/2026</t>
  </si>
  <si>
    <t>Olive Hospitality - DDM - Media - Managed Media (AOR) - 04/2026</t>
  </si>
  <si>
    <t>Raven Sports - DDM - Media - Managed Media (AOR) - 02/2026</t>
  </si>
  <si>
    <t>Basil Sports</t>
  </si>
  <si>
    <t>Ember Hospitality</t>
  </si>
  <si>
    <t>Filbert Sports</t>
  </si>
  <si>
    <t>Jasper Security</t>
  </si>
  <si>
    <t>Larkspur Foods</t>
  </si>
  <si>
    <t>Olive Hospitality</t>
  </si>
  <si>
    <t>Revenue Over Time</t>
  </si>
  <si>
    <t>Lead Source Distribution</t>
  </si>
  <si>
    <t>Win Rate by Lead Source</t>
  </si>
  <si>
    <t>Stage Distribution</t>
  </si>
  <si>
    <t>Average Ticket by Type</t>
  </si>
  <si>
    <t>Top 10 Clients (Closed Won)</t>
  </si>
  <si>
    <t>Open Pipeline by Stage</t>
  </si>
  <si>
    <t>Pipeline Metrics</t>
  </si>
  <si>
    <t>Average Ticket (Closed Won)</t>
  </si>
  <si>
    <t>Average Ticket</t>
  </si>
  <si>
    <t>Amount by Opportunity</t>
  </si>
  <si>
    <t>Month_Year</t>
  </si>
  <si>
    <t>Sales_Cycle_Days</t>
  </si>
  <si>
    <t>Pipeline_Age_Days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</si>
</sst>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\ * #,##0.00_-;\-&quot;R$&quot;\ * #,##0.00_-;_-&quot;R$&quot;\ * &quot;-&quot;??_-;_-@_-"/>
    <numFmt numFmtId="168" formatCode="&quot;R$&quot;\ #,##0.00"/>
    <numFmt numFmtId="169" formatCode="_-[$R$-416]\ * #,##0.00_-;\-[$R$-416]\ * #,##0.00_-;_-[$R$-416]\ * &quot;-&quot;??_-;_-@_-"/>
  </numFmts>
  <fonts count="9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0" fontId="5" fillId="0" borderId="0" xfId="0" applyFont="1"/>
    <xf numFmtId="0" fontId="3" fillId="2" borderId="0" xfId="2"/>
    <xf numFmtId="168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7" fillId="2" borderId="0" xfId="2" applyFont="1" applyAlignment="1">
      <alignment horizontal="center"/>
    </xf>
    <xf numFmtId="0" fontId="0" fillId="0" borderId="0" xfId="0" pivotButton="1" applyAlignment="1">
      <alignment horizontal="center"/>
    </xf>
    <xf numFmtId="0" fontId="3" fillId="2" borderId="0" xfId="2" applyAlignment="1">
      <alignment horizontal="center"/>
    </xf>
    <xf numFmtId="0" fontId="4" fillId="2" borderId="0" xfId="2" applyFont="1" applyAlignment="1">
      <alignment horizontal="center"/>
    </xf>
    <xf numFmtId="0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9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7" fillId="2" borderId="0" xfId="2" applyFont="1" applyAlignment="1">
      <alignment horizontal="center" vertical="top"/>
    </xf>
    <xf numFmtId="0" fontId="0" fillId="0" borderId="0" xfId="0"/>
    <xf numFmtId="169" fontId="0" fillId="0" borderId="0" xfId="0" applyNumberFormat="1" applyAlignment="1">
      <alignment horizontal="left"/>
    </xf>
    <xf numFmtId="1" fontId="2" fillId="0" borderId="0" xfId="0" applyNumberFormat="1" applyFont="1"/>
    <xf numFmtId="1" fontId="0" fillId="0" borderId="0" xfId="0" applyNumberFormat="1"/>
    <xf numFmtId="0" fontId="1" fillId="0" borderId="0" xfId="0" applyNumberFormat="1" applyFont="1"/>
    <xf numFmtId="14" fontId="1" fillId="0" borderId="0" xfId="0" applyNumberFormat="1" applyFont="1"/>
    <xf numFmtId="44" fontId="0" fillId="0" borderId="0" xfId="0" applyNumberFormat="1"/>
    <xf numFmtId="1" fontId="4" fillId="0" borderId="0" xfId="0" applyNumberFormat="1" applyFont="1"/>
    <xf numFmtId="0" fontId="0" fillId="0" borderId="0" xfId="0" applyAlignment="1"/>
    <xf numFmtId="0" fontId="6" fillId="2" borderId="0" xfId="2" applyFont="1" applyAlignment="1">
      <alignment horizontal="center"/>
    </xf>
    <xf numFmtId="0" fontId="8" fillId="2" borderId="0" xfId="2" applyFont="1" applyAlignment="1">
      <alignment horizontal="center"/>
    </xf>
  </cellXfs>
  <cellStyles count="3">
    <cellStyle name="20% - Ênfase1" xfId="2" builtinId="30"/>
    <cellStyle name="Normal" xfId="0" builtinId="0"/>
    <cellStyle name="Porcentagem" xfId="1" builtinId="5"/>
  </cellStyles>
  <dxfs count="112">
    <dxf>
      <numFmt numFmtId="169" formatCode="_-[$R$-416]\ * #,##0.00_-;\-[$R$-416]\ * #,##0.00_-;_-[$R$-416]\ * &quot;-&quot;??_-;_-@_-"/>
    </dxf>
    <dxf>
      <numFmt numFmtId="169" formatCode="_-[$R$-416]\ * #,##0.00_-;\-[$R$-416]\ * #,##0.00_-;_-[$R$-416]\ * &quot;-&quot;??_-;_-@_-"/>
    </dxf>
    <dxf>
      <numFmt numFmtId="169" formatCode="_-[$R$-416]\ * #,##0.00_-;\-[$R$-416]\ * #,##0.00_-;_-[$R$-416]\ * &quot;-&quot;??_-;_-@_-"/>
    </dxf>
    <dxf>
      <alignment horizontal="right" readingOrder="0"/>
    </dxf>
    <dxf>
      <alignment horizontal="center" readingOrder="0"/>
    </dxf>
    <dxf>
      <alignment horizontal="left" readingOrder="0"/>
    </dxf>
    <dxf>
      <alignment vertical="top" readingOrder="0"/>
    </dxf>
    <dxf>
      <alignment vertical="center" readingOrder="0"/>
    </dxf>
    <dxf>
      <alignment vertical="bottom" readingOrder="0"/>
    </dxf>
    <dxf>
      <alignment horizontal="general" readingOrder="0"/>
    </dxf>
    <dxf>
      <alignment horizontal="right" readingOrder="0"/>
    </dxf>
    <dxf>
      <alignment horizontal="center" readingOrder="0"/>
    </dxf>
    <dxf>
      <alignment horizontal="lef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8" formatCode="&quot;R$&quot;\ #,##0.00"/>
    </dxf>
    <dxf>
      <numFmt numFmtId="169" formatCode="_-[$R$-416]\ * #,##0.00_-;\-[$R$-416]\ * #,##0.00_-;_-[$R$-416]\ * &quot;-&quot;??_-;_-@_-"/>
    </dxf>
    <dxf>
      <numFmt numFmtId="169" formatCode="_-[$R$-416]\ * #,##0.00_-;\-[$R$-416]\ * #,##0.00_-;_-[$R$-416]\ * &quot;-&quot;??_-;_-@_-"/>
    </dxf>
    <dxf>
      <numFmt numFmtId="169" formatCode="_-[$R$-416]\ * #,##0.00_-;\-[$R$-416]\ * #,##0.00_-;_-[$R$-416]\ * &quot;-&quot;??_-;_-@_-"/>
    </dxf>
    <dxf>
      <alignment horizontal="right" readingOrder="0"/>
    </dxf>
    <dxf>
      <alignment horizontal="center" readingOrder="0"/>
    </dxf>
    <dxf>
      <alignment horizontal="left" readingOrder="0"/>
    </dxf>
    <dxf>
      <alignment vertical="top" readingOrder="0"/>
    </dxf>
    <dxf>
      <alignment vertical="center" readingOrder="0"/>
    </dxf>
    <dxf>
      <alignment vertical="bottom" readingOrder="0"/>
    </dxf>
    <dxf>
      <alignment horizontal="general" readingOrder="0"/>
    </dxf>
    <dxf>
      <alignment horizontal="right" readingOrder="0"/>
    </dxf>
    <dxf>
      <alignment horizontal="center" readingOrder="0"/>
    </dxf>
    <dxf>
      <alignment horizontal="lef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8" formatCode="&quot;R$&quot;\ #,##0.00"/>
    </dxf>
    <dxf>
      <numFmt numFmtId="34" formatCode="_-&quot;R$&quot;\ * #,##0.00_-;\-&quot;R$&quot;\ * #,##0.00_-;_-&quot;R$&quot;\ * &quot;-&quot;??_-;_-@_-"/>
    </dxf>
    <dxf>
      <numFmt numFmtId="169" formatCode="_-[$R$-416]\ * #,##0.00_-;\-[$R$-416]\ * #,##0.00_-;_-[$R$-416]\ * &quot;-&quot;??_-;_-@_-"/>
    </dxf>
    <dxf>
      <numFmt numFmtId="169" formatCode="_-[$R$-416]\ * #,##0.00_-;\-[$R$-416]\ * #,##0.00_-;_-[$R$-416]\ * &quot;-&quot;??_-;_-@_-"/>
    </dxf>
    <dxf>
      <numFmt numFmtId="169" formatCode="_-[$R$-416]\ * #,##0.00_-;\-[$R$-416]\ * #,##0.00_-;_-[$R$-416]\ * &quot;-&quot;??_-;_-@_-"/>
    </dxf>
    <dxf>
      <alignment horizontal="right" readingOrder="0"/>
    </dxf>
    <dxf>
      <alignment horizontal="center" readingOrder="0"/>
    </dxf>
    <dxf>
      <alignment horizontal="left" readingOrder="0"/>
    </dxf>
    <dxf>
      <alignment vertical="top" readingOrder="0"/>
    </dxf>
    <dxf>
      <alignment vertical="center" readingOrder="0"/>
    </dxf>
    <dxf>
      <alignment vertical="bottom" readingOrder="0"/>
    </dxf>
    <dxf>
      <alignment horizontal="general" readingOrder="0"/>
    </dxf>
    <dxf>
      <alignment horizontal="right" readingOrder="0"/>
    </dxf>
    <dxf>
      <alignment horizontal="center" readingOrder="0"/>
    </dxf>
    <dxf>
      <alignment horizontal="lef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8" formatCode="&quot;R$&quot;\ #,##0.00"/>
    </dxf>
    <dxf>
      <alignment vertical="bottom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9" formatCode="_-[$R$-416]\ * #,##0.00_-;\-[$R$-416]\ * #,##0.00_-;_-[$R$-416]\ * &quot;-&quot;??_-;_-@_-"/>
    </dxf>
    <dxf>
      <numFmt numFmtId="169" formatCode="_-[$R$-416]\ * #,##0.00_-;\-[$R$-416]\ * #,##0.00_-;_-[$R$-416]\ * &quot;-&quot;??_-;_-@_-"/>
    </dxf>
    <dxf>
      <numFmt numFmtId="169" formatCode="_-[$R$-416]\ * #,##0.00_-;\-[$R$-416]\ * #,##0.00_-;_-[$R$-416]\ * &quot;-&quot;??_-;_-@_-"/>
    </dxf>
    <dxf>
      <alignment horizontal="right" readingOrder="0"/>
    </dxf>
    <dxf>
      <alignment horizontal="center" readingOrder="0"/>
    </dxf>
    <dxf>
      <alignment horizontal="left" readingOrder="0"/>
    </dxf>
    <dxf>
      <alignment vertical="top" readingOrder="0"/>
    </dxf>
    <dxf>
      <alignment vertical="center" readingOrder="0"/>
    </dxf>
    <dxf>
      <alignment vertical="bottom" readingOrder="0"/>
    </dxf>
    <dxf>
      <alignment horizontal="general" readingOrder="0"/>
    </dxf>
    <dxf>
      <alignment horizontal="right" readingOrder="0"/>
    </dxf>
    <dxf>
      <alignment horizontal="center" readingOrder="0"/>
    </dxf>
    <dxf>
      <alignment horizontal="lef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8" formatCode="&quot;R$&quot;\ #,##0.00"/>
    </dxf>
    <dxf>
      <alignment vertical="bottom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4" formatCode="_-&quot;R$&quot;\ * #,##0.00_-;\-&quot;R$&quot;\ * #,##0.00_-;_-&quot;R$&quot;\ * &quot;-&quot;??_-;_-@_-"/>
    </dxf>
    <dxf>
      <numFmt numFmtId="169" formatCode="_-[$R$-416]\ * #,##0.00_-;\-[$R$-416]\ * #,##0.00_-;_-[$R$-416]\ * &quot;-&quot;??_-;_-@_-"/>
    </dxf>
    <dxf>
      <numFmt numFmtId="169" formatCode="_-[$R$-416]\ * #,##0.00_-;\-[$R$-416]\ * #,##0.00_-;_-[$R$-416]\ * &quot;-&quot;??_-;_-@_-"/>
    </dxf>
    <dxf>
      <numFmt numFmtId="169" formatCode="_-[$R$-416]\ * #,##0.00_-;\-[$R$-416]\ * #,##0.00_-;_-[$R$-416]\ * &quot;-&quot;??_-;_-@_-"/>
    </dxf>
    <dxf>
      <alignment horizontal="right" readingOrder="0"/>
    </dxf>
    <dxf>
      <alignment horizontal="center" readingOrder="0"/>
    </dxf>
    <dxf>
      <alignment horizontal="left" readingOrder="0"/>
    </dxf>
    <dxf>
      <alignment vertical="top" readingOrder="0"/>
    </dxf>
    <dxf>
      <alignment vertical="center" readingOrder="0"/>
    </dxf>
    <dxf>
      <alignment vertical="bottom" readingOrder="0"/>
    </dxf>
    <dxf>
      <alignment horizontal="general" readingOrder="0"/>
    </dxf>
    <dxf>
      <alignment horizontal="right" readingOrder="0"/>
    </dxf>
    <dxf>
      <alignment horizontal="center" readingOrder="0"/>
    </dxf>
    <dxf>
      <alignment horizontal="lef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8" formatCode="&quot;R$&quot;\ #,##0.00"/>
    </dxf>
    <dxf>
      <alignment vertical="bottom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[opps_corrigido.xlsx]Revenue Over Time!Tabela dinâmica2</c:name>
    <c:fmtId val="9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Over Time'!$B$3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Over Time'!$A$4:$A$75</c:f>
              <c:strCache>
                <c:ptCount val="71"/>
                <c:pt idx="0">
                  <c:v>04/01/2026</c:v>
                </c:pt>
                <c:pt idx="1">
                  <c:v>05/01/2026</c:v>
                </c:pt>
                <c:pt idx="2">
                  <c:v>06/01/2026</c:v>
                </c:pt>
                <c:pt idx="3">
                  <c:v>07/01/2026</c:v>
                </c:pt>
                <c:pt idx="4">
                  <c:v>14/01/2026</c:v>
                </c:pt>
                <c:pt idx="5">
                  <c:v>15/01/2026</c:v>
                </c:pt>
                <c:pt idx="6">
                  <c:v>19/01/2026</c:v>
                </c:pt>
                <c:pt idx="7">
                  <c:v>20/01/2026</c:v>
                </c:pt>
                <c:pt idx="8">
                  <c:v>21/01/2026</c:v>
                </c:pt>
                <c:pt idx="9">
                  <c:v>22/01/2026</c:v>
                </c:pt>
                <c:pt idx="10">
                  <c:v>27/01/2026</c:v>
                </c:pt>
                <c:pt idx="11">
                  <c:v>29/01/2026</c:v>
                </c:pt>
                <c:pt idx="12">
                  <c:v>30/01/2026</c:v>
                </c:pt>
                <c:pt idx="13">
                  <c:v>31/01/2026</c:v>
                </c:pt>
                <c:pt idx="14">
                  <c:v>02/02/2026</c:v>
                </c:pt>
                <c:pt idx="15">
                  <c:v>04/02/2026</c:v>
                </c:pt>
                <c:pt idx="16">
                  <c:v>06/02/2026</c:v>
                </c:pt>
                <c:pt idx="17">
                  <c:v>13/02/2026</c:v>
                </c:pt>
                <c:pt idx="18">
                  <c:v>19/02/2026</c:v>
                </c:pt>
                <c:pt idx="19">
                  <c:v>23/02/2026</c:v>
                </c:pt>
                <c:pt idx="20">
                  <c:v>24/02/2026</c:v>
                </c:pt>
                <c:pt idx="21">
                  <c:v>25/02/2026</c:v>
                </c:pt>
                <c:pt idx="22">
                  <c:v>26/02/2026</c:v>
                </c:pt>
                <c:pt idx="23">
                  <c:v>27/02/2026</c:v>
                </c:pt>
                <c:pt idx="24">
                  <c:v>02/03/2026</c:v>
                </c:pt>
                <c:pt idx="25">
                  <c:v>18/03/2026</c:v>
                </c:pt>
                <c:pt idx="26">
                  <c:v>20/03/2026</c:v>
                </c:pt>
                <c:pt idx="27">
                  <c:v>23/03/2026</c:v>
                </c:pt>
                <c:pt idx="28">
                  <c:v>24/03/2026</c:v>
                </c:pt>
                <c:pt idx="29">
                  <c:v>25/03/2026</c:v>
                </c:pt>
                <c:pt idx="30">
                  <c:v>26/03/2026</c:v>
                </c:pt>
                <c:pt idx="31">
                  <c:v>30/03/2026</c:v>
                </c:pt>
                <c:pt idx="32">
                  <c:v>31/03/2026</c:v>
                </c:pt>
                <c:pt idx="33">
                  <c:v>05/04/2026</c:v>
                </c:pt>
                <c:pt idx="34">
                  <c:v>13/04/2026</c:v>
                </c:pt>
                <c:pt idx="35">
                  <c:v>17/04/2026</c:v>
                </c:pt>
                <c:pt idx="36">
                  <c:v>24/04/2026</c:v>
                </c:pt>
                <c:pt idx="37">
                  <c:v>26/04/2026</c:v>
                </c:pt>
                <c:pt idx="38">
                  <c:v>27/04/2026</c:v>
                </c:pt>
                <c:pt idx="39">
                  <c:v>28/04/2026</c:v>
                </c:pt>
                <c:pt idx="40">
                  <c:v>29/04/2026</c:v>
                </c:pt>
                <c:pt idx="41">
                  <c:v>30/04/2026</c:v>
                </c:pt>
                <c:pt idx="42">
                  <c:v>01/05/2026</c:v>
                </c:pt>
                <c:pt idx="43">
                  <c:v>03/05/2026</c:v>
                </c:pt>
                <c:pt idx="44">
                  <c:v>13/05/2026</c:v>
                </c:pt>
                <c:pt idx="45">
                  <c:v>14/05/2026</c:v>
                </c:pt>
                <c:pt idx="46">
                  <c:v>18/05/2026</c:v>
                </c:pt>
                <c:pt idx="47">
                  <c:v>25/05/2026</c:v>
                </c:pt>
                <c:pt idx="48">
                  <c:v>29/05/2026</c:v>
                </c:pt>
                <c:pt idx="49">
                  <c:v>31/05/2026</c:v>
                </c:pt>
                <c:pt idx="50">
                  <c:v>01/06/2026</c:v>
                </c:pt>
                <c:pt idx="51">
                  <c:v>05/06/2026</c:v>
                </c:pt>
                <c:pt idx="52">
                  <c:v>07/06/2026</c:v>
                </c:pt>
                <c:pt idx="53">
                  <c:v>29/06/2026</c:v>
                </c:pt>
                <c:pt idx="54">
                  <c:v>30/06/2026</c:v>
                </c:pt>
                <c:pt idx="55">
                  <c:v>31/07/2026</c:v>
                </c:pt>
                <c:pt idx="56">
                  <c:v>01/08/2026</c:v>
                </c:pt>
                <c:pt idx="57">
                  <c:v>04/08/2026</c:v>
                </c:pt>
                <c:pt idx="58">
                  <c:v>05/08/2026</c:v>
                </c:pt>
                <c:pt idx="59">
                  <c:v>06/08/2026</c:v>
                </c:pt>
                <c:pt idx="60">
                  <c:v>01/09/2026</c:v>
                </c:pt>
                <c:pt idx="61">
                  <c:v>02/09/2026</c:v>
                </c:pt>
                <c:pt idx="62">
                  <c:v>03/09/2026</c:v>
                </c:pt>
                <c:pt idx="63">
                  <c:v>05/09/2026</c:v>
                </c:pt>
                <c:pt idx="64">
                  <c:v>03/10/2026</c:v>
                </c:pt>
                <c:pt idx="65">
                  <c:v>04/10/2026</c:v>
                </c:pt>
                <c:pt idx="66">
                  <c:v>05/10/2026</c:v>
                </c:pt>
                <c:pt idx="67">
                  <c:v>03/11/2026</c:v>
                </c:pt>
                <c:pt idx="68">
                  <c:v>05/11/2026</c:v>
                </c:pt>
                <c:pt idx="69">
                  <c:v>01/12/2026</c:v>
                </c:pt>
                <c:pt idx="70">
                  <c:v>03/12/2026</c:v>
                </c:pt>
              </c:strCache>
            </c:strRef>
          </c:cat>
          <c:val>
            <c:numRef>
              <c:f>'Revenue Over Time'!$B$4:$B$75</c:f>
              <c:numCache>
                <c:formatCode>General</c:formatCode>
                <c:ptCount val="71"/>
                <c:pt idx="0">
                  <c:v>17899</c:v>
                </c:pt>
                <c:pt idx="1">
                  <c:v>1726849.6</c:v>
                </c:pt>
                <c:pt idx="2">
                  <c:v>2010020</c:v>
                </c:pt>
                <c:pt idx="3">
                  <c:v>0</c:v>
                </c:pt>
                <c:pt idx="4">
                  <c:v>6115059.3799999999</c:v>
                </c:pt>
                <c:pt idx="5">
                  <c:v>429774</c:v>
                </c:pt>
                <c:pt idx="6">
                  <c:v>145000</c:v>
                </c:pt>
                <c:pt idx="7">
                  <c:v>234960</c:v>
                </c:pt>
                <c:pt idx="8">
                  <c:v>64258.47</c:v>
                </c:pt>
                <c:pt idx="9">
                  <c:v>216044.4</c:v>
                </c:pt>
                <c:pt idx="10">
                  <c:v>37002917.549999997</c:v>
                </c:pt>
                <c:pt idx="11">
                  <c:v>667166.55000000005</c:v>
                </c:pt>
                <c:pt idx="12">
                  <c:v>444734.13</c:v>
                </c:pt>
                <c:pt idx="13">
                  <c:v>1073419.78</c:v>
                </c:pt>
                <c:pt idx="14">
                  <c:v>44031.74</c:v>
                </c:pt>
                <c:pt idx="15">
                  <c:v>996914.04</c:v>
                </c:pt>
                <c:pt idx="16">
                  <c:v>5980149.3599999994</c:v>
                </c:pt>
                <c:pt idx="17">
                  <c:v>16225293.759999998</c:v>
                </c:pt>
                <c:pt idx="18">
                  <c:v>5000</c:v>
                </c:pt>
                <c:pt idx="19">
                  <c:v>732596.04</c:v>
                </c:pt>
                <c:pt idx="20">
                  <c:v>32400</c:v>
                </c:pt>
                <c:pt idx="21">
                  <c:v>1814832.72</c:v>
                </c:pt>
                <c:pt idx="22">
                  <c:v>10134386.140000001</c:v>
                </c:pt>
                <c:pt idx="23">
                  <c:v>33904315.279999994</c:v>
                </c:pt>
                <c:pt idx="24">
                  <c:v>39230.949999999997</c:v>
                </c:pt>
                <c:pt idx="25">
                  <c:v>13655356.200000001</c:v>
                </c:pt>
                <c:pt idx="26">
                  <c:v>981253.68</c:v>
                </c:pt>
                <c:pt idx="27">
                  <c:v>1411704.92</c:v>
                </c:pt>
                <c:pt idx="28">
                  <c:v>5861570.8799999999</c:v>
                </c:pt>
                <c:pt idx="29">
                  <c:v>376348</c:v>
                </c:pt>
                <c:pt idx="30">
                  <c:v>151352.54999999999</c:v>
                </c:pt>
                <c:pt idx="31">
                  <c:v>264500</c:v>
                </c:pt>
                <c:pt idx="32">
                  <c:v>11791963.9</c:v>
                </c:pt>
                <c:pt idx="33">
                  <c:v>6000907.96</c:v>
                </c:pt>
                <c:pt idx="34">
                  <c:v>9960591.0500000007</c:v>
                </c:pt>
                <c:pt idx="35">
                  <c:v>12708478.02</c:v>
                </c:pt>
                <c:pt idx="36">
                  <c:v>2369582</c:v>
                </c:pt>
                <c:pt idx="37">
                  <c:v>171761.3</c:v>
                </c:pt>
                <c:pt idx="38">
                  <c:v>622882</c:v>
                </c:pt>
                <c:pt idx="39">
                  <c:v>72720</c:v>
                </c:pt>
                <c:pt idx="40">
                  <c:v>2178037.2599999998</c:v>
                </c:pt>
                <c:pt idx="41">
                  <c:v>42940461.689999998</c:v>
                </c:pt>
                <c:pt idx="42">
                  <c:v>3988046.6399999997</c:v>
                </c:pt>
                <c:pt idx="43">
                  <c:v>1614377.2399999998</c:v>
                </c:pt>
                <c:pt idx="44">
                  <c:v>34494413.800000004</c:v>
                </c:pt>
                <c:pt idx="45">
                  <c:v>57011.76</c:v>
                </c:pt>
                <c:pt idx="46">
                  <c:v>935328</c:v>
                </c:pt>
                <c:pt idx="47">
                  <c:v>427005.1</c:v>
                </c:pt>
                <c:pt idx="48">
                  <c:v>26756105.32</c:v>
                </c:pt>
                <c:pt idx="49">
                  <c:v>35380480.359999999</c:v>
                </c:pt>
                <c:pt idx="50">
                  <c:v>3043758.2399999998</c:v>
                </c:pt>
                <c:pt idx="51">
                  <c:v>0</c:v>
                </c:pt>
                <c:pt idx="52">
                  <c:v>1200000</c:v>
                </c:pt>
                <c:pt idx="53">
                  <c:v>1253856</c:v>
                </c:pt>
                <c:pt idx="54">
                  <c:v>54892378.920000009</c:v>
                </c:pt>
                <c:pt idx="55">
                  <c:v>8160919.8400000008</c:v>
                </c:pt>
                <c:pt idx="56">
                  <c:v>43442.82</c:v>
                </c:pt>
                <c:pt idx="57">
                  <c:v>91000</c:v>
                </c:pt>
                <c:pt idx="58">
                  <c:v>897540.79</c:v>
                </c:pt>
                <c:pt idx="59">
                  <c:v>265143.84999999998</c:v>
                </c:pt>
                <c:pt idx="60">
                  <c:v>530928.88</c:v>
                </c:pt>
                <c:pt idx="61">
                  <c:v>360000</c:v>
                </c:pt>
                <c:pt idx="62">
                  <c:v>18590602.800000001</c:v>
                </c:pt>
                <c:pt idx="63">
                  <c:v>629375.69999999995</c:v>
                </c:pt>
                <c:pt idx="64">
                  <c:v>248120.28</c:v>
                </c:pt>
                <c:pt idx="65">
                  <c:v>2980927.08</c:v>
                </c:pt>
                <c:pt idx="66">
                  <c:v>0</c:v>
                </c:pt>
                <c:pt idx="67">
                  <c:v>1496666.16</c:v>
                </c:pt>
                <c:pt idx="68">
                  <c:v>13179060.640000001</c:v>
                </c:pt>
                <c:pt idx="69">
                  <c:v>11111095.76</c:v>
                </c:pt>
                <c:pt idx="70">
                  <c:v>5041704.540000001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A-4A1E-8409-640DC74AD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3790495"/>
        <c:axId val="933793407"/>
      </c:barChart>
      <c:catAx>
        <c:axId val="93379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3793407"/>
        <c:crosses val="autoZero"/>
        <c:auto val="1"/>
        <c:lblAlgn val="ctr"/>
        <c:lblOffset val="100"/>
        <c:noMultiLvlLbl val="0"/>
      </c:catAx>
      <c:valAx>
        <c:axId val="93379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379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[opps_corrigido.xlsx]Lead Source Distribution!Tabela dinâmica4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 Source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'Lead Source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'Lead Source Distribution'!$A$4:$A$9</c:f>
              <c:strCache>
                <c:ptCount val="5"/>
                <c:pt idx="0">
                  <c:v>Customer Success</c:v>
                </c:pt>
                <c:pt idx="1">
                  <c:v>Referral</c:v>
                </c:pt>
                <c:pt idx="2">
                  <c:v>Inbound</c:v>
                </c:pt>
                <c:pt idx="3">
                  <c:v>Unknown</c:v>
                </c:pt>
                <c:pt idx="4">
                  <c:v>Event</c:v>
                </c:pt>
              </c:strCache>
            </c:strRef>
          </c:cat>
          <c:val>
            <c:numRef>
              <c:f>'Lead Source Distribution'!$B$4:$B$9</c:f>
              <c:numCache>
                <c:formatCode>General</c:formatCode>
                <c:ptCount val="5"/>
                <c:pt idx="0">
                  <c:v>323467745.79000014</c:v>
                </c:pt>
                <c:pt idx="1">
                  <c:v>84028701.089999989</c:v>
                </c:pt>
                <c:pt idx="2">
                  <c:v>32822454.02</c:v>
                </c:pt>
                <c:pt idx="3">
                  <c:v>17781257.920000002</c:v>
                </c:pt>
                <c:pt idx="4">
                  <c:v>1145856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D-42C9-8709-EF9D37746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[opps_corrigido.xlsx]Open Pipeline by Stage!Tabela dinâmica10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Open Pipeline by Stage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'Open Pipeline by Stage'!$B$3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'Open Pipeline by Stage'!$A$4:$A$10</c:f>
              <c:strCache>
                <c:ptCount val="6"/>
                <c:pt idx="0">
                  <c:v>Negotiation</c:v>
                </c:pt>
                <c:pt idx="1">
                  <c:v>Opportunity Identified</c:v>
                </c:pt>
                <c:pt idx="2">
                  <c:v>Pitched</c:v>
                </c:pt>
                <c:pt idx="3">
                  <c:v>Pitching</c:v>
                </c:pt>
                <c:pt idx="4">
                  <c:v>Qualified</c:v>
                </c:pt>
                <c:pt idx="5">
                  <c:v>Registration</c:v>
                </c:pt>
              </c:strCache>
            </c:strRef>
          </c:cat>
          <c:val>
            <c:numRef>
              <c:f>'Open Pipeline by Stage'!$B$4:$B$10</c:f>
              <c:numCache>
                <c:formatCode>General</c:formatCode>
                <c:ptCount val="6"/>
                <c:pt idx="0">
                  <c:v>87059988.590000004</c:v>
                </c:pt>
                <c:pt idx="1">
                  <c:v>1305328</c:v>
                </c:pt>
                <c:pt idx="2">
                  <c:v>81656351.309999973</c:v>
                </c:pt>
                <c:pt idx="3">
                  <c:v>16941275.73</c:v>
                </c:pt>
                <c:pt idx="4">
                  <c:v>4186134.0200000005</c:v>
                </c:pt>
                <c:pt idx="5">
                  <c:v>72135628.979999989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F-4638-ADD1-B93A42B6D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7517807"/>
        <c:axId val="1137511567"/>
      </c:barChart>
      <c:catAx>
        <c:axId val="113751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7511567"/>
        <c:crosses val="autoZero"/>
        <c:auto val="1"/>
        <c:lblAlgn val="ctr"/>
        <c:lblOffset val="100"/>
        <c:noMultiLvlLbl val="0"/>
      </c:catAx>
      <c:valAx>
        <c:axId val="113751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751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[opps_corrigido.xlsx]Mix New vs Upsell!Tabela dinâmica12</c:name>
    <c:fmtId val="2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'Mix New vs Upsell'!$B$3:$B$4</c:f>
              <c:strCache>
                <c:ptCount val="1"/>
                <c:pt idx="0">
                  <c:v>New Business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'Mix New vs Upsell'!$A$5:$A$17</c:f>
              <c:strCache>
                <c:ptCount val="12"/>
                <c:pt idx="0">
                  <c:v>01/2026</c:v>
                </c:pt>
                <c:pt idx="1">
                  <c:v>02/2026</c:v>
                </c:pt>
                <c:pt idx="2">
                  <c:v>03/2026</c:v>
                </c:pt>
                <c:pt idx="3">
                  <c:v>04/2026</c:v>
                </c:pt>
                <c:pt idx="4">
                  <c:v>05/2026</c:v>
                </c:pt>
                <c:pt idx="5">
                  <c:v>06/2026</c:v>
                </c:pt>
                <c:pt idx="6">
                  <c:v>07/2026</c:v>
                </c:pt>
                <c:pt idx="7">
                  <c:v>12/2026</c:v>
                </c:pt>
                <c:pt idx="8">
                  <c:v>09/2026</c:v>
                </c:pt>
                <c:pt idx="9">
                  <c:v>11/2026</c:v>
                </c:pt>
                <c:pt idx="10">
                  <c:v>10/2026</c:v>
                </c:pt>
                <c:pt idx="11">
                  <c:v>08/2026</c:v>
                </c:pt>
              </c:strCache>
            </c:strRef>
          </c:cat>
          <c:val>
            <c:numRef>
              <c:f>'Mix New vs Upsell'!$B$5:$B$17</c:f>
              <c:numCache>
                <c:formatCode>General</c:formatCode>
                <c:ptCount val="12"/>
                <c:pt idx="0">
                  <c:v>5771869.5999999996</c:v>
                </c:pt>
                <c:pt idx="1">
                  <c:v>23413715.059999995</c:v>
                </c:pt>
                <c:pt idx="2">
                  <c:v>1172867.92</c:v>
                </c:pt>
                <c:pt idx="3">
                  <c:v>17320564.940000001</c:v>
                </c:pt>
                <c:pt idx="4">
                  <c:v>60203732.539999992</c:v>
                </c:pt>
                <c:pt idx="5">
                  <c:v>7627740.6400000006</c:v>
                </c:pt>
                <c:pt idx="7">
                  <c:v>300000</c:v>
                </c:pt>
                <c:pt idx="8">
                  <c:v>40000</c:v>
                </c:pt>
                <c:pt idx="9">
                  <c:v>13179060.640000001</c:v>
                </c:pt>
                <c:pt idx="10">
                  <c:v>3064927.08</c:v>
                </c:pt>
                <c:pt idx="11">
                  <c:v>1162684.6399999999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6-420B-BB99-0B8D3A3DD68E}"/>
            </c:ext>
          </c:extLst>
        </c:ser>
        <c:ser>
          <c:idx val="1"/>
          <c:order val="1"/>
          <c:tx>
            <c:strRef>
              <c:f>'Mix New vs Upsell'!$C$3:$C$4</c:f>
              <c:strCache>
                <c:ptCount val="1"/>
                <c:pt idx="0">
                  <c:v>Upsell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'Mix New vs Upsell'!$A$5:$A$17</c:f>
              <c:strCache>
                <c:ptCount val="12"/>
                <c:pt idx="0">
                  <c:v>01/2026</c:v>
                </c:pt>
                <c:pt idx="1">
                  <c:v>02/2026</c:v>
                </c:pt>
                <c:pt idx="2">
                  <c:v>03/2026</c:v>
                </c:pt>
                <c:pt idx="3">
                  <c:v>04/2026</c:v>
                </c:pt>
                <c:pt idx="4">
                  <c:v>05/2026</c:v>
                </c:pt>
                <c:pt idx="5">
                  <c:v>06/2026</c:v>
                </c:pt>
                <c:pt idx="6">
                  <c:v>07/2026</c:v>
                </c:pt>
                <c:pt idx="7">
                  <c:v>12/2026</c:v>
                </c:pt>
                <c:pt idx="8">
                  <c:v>09/2026</c:v>
                </c:pt>
                <c:pt idx="9">
                  <c:v>11/2026</c:v>
                </c:pt>
                <c:pt idx="10">
                  <c:v>10/2026</c:v>
                </c:pt>
                <c:pt idx="11">
                  <c:v>08/2026</c:v>
                </c:pt>
              </c:strCache>
            </c:strRef>
          </c:cat>
          <c:val>
            <c:numRef>
              <c:f>'Mix New vs Upsell'!$C$5:$C$17</c:f>
              <c:numCache>
                <c:formatCode>General</c:formatCode>
                <c:ptCount val="12"/>
                <c:pt idx="0">
                  <c:v>44376233.260000013</c:v>
                </c:pt>
                <c:pt idx="1">
                  <c:v>46456204.020000003</c:v>
                </c:pt>
                <c:pt idx="2">
                  <c:v>33360413.160000004</c:v>
                </c:pt>
                <c:pt idx="3">
                  <c:v>59704856.340000018</c:v>
                </c:pt>
                <c:pt idx="4">
                  <c:v>43449035.680000007</c:v>
                </c:pt>
                <c:pt idx="5">
                  <c:v>52762252.519999996</c:v>
                </c:pt>
                <c:pt idx="6">
                  <c:v>8160919.8399999999</c:v>
                </c:pt>
                <c:pt idx="7">
                  <c:v>15852800.300000003</c:v>
                </c:pt>
                <c:pt idx="8">
                  <c:v>20070907.380000003</c:v>
                </c:pt>
                <c:pt idx="9">
                  <c:v>1496666.16</c:v>
                </c:pt>
                <c:pt idx="10">
                  <c:v>164120.28</c:v>
                </c:pt>
                <c:pt idx="11">
                  <c:v>134442.82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46-420B-BB99-0B8D3A3DD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5080559"/>
        <c:axId val="1125073903"/>
      </c:barChart>
      <c:catAx>
        <c:axId val="112508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5073903"/>
        <c:crosses val="autoZero"/>
        <c:auto val="1"/>
        <c:lblAlgn val="ctr"/>
        <c:lblOffset val="100"/>
        <c:noMultiLvlLbl val="0"/>
      </c:catAx>
      <c:valAx>
        <c:axId val="112507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5080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8859</xdr:colOff>
      <xdr:row>1</xdr:row>
      <xdr:rowOff>184119</xdr:rowOff>
    </xdr:from>
    <xdr:to>
      <xdr:col>16</xdr:col>
      <xdr:colOff>611371</xdr:colOff>
      <xdr:row>37</xdr:row>
      <xdr:rowOff>17720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</xdr:row>
      <xdr:rowOff>179070</xdr:rowOff>
    </xdr:from>
    <xdr:to>
      <xdr:col>11</xdr:col>
      <xdr:colOff>0</xdr:colOff>
      <xdr:row>16</xdr:row>
      <xdr:rowOff>179070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7620</xdr:rowOff>
    </xdr:from>
    <xdr:to>
      <xdr:col>2</xdr:col>
      <xdr:colOff>15240</xdr:colOff>
      <xdr:row>26</xdr:row>
      <xdr:rowOff>15240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14933</xdr:rowOff>
    </xdr:from>
    <xdr:to>
      <xdr:col>3</xdr:col>
      <xdr:colOff>2934137</xdr:colOff>
      <xdr:row>34</xdr:row>
      <xdr:rowOff>17518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ya" refreshedDate="46137.943622685183" createdVersion="6" refreshedVersion="6" minRefreshableVersion="3" recordCount="413">
  <cacheSource type="worksheet">
    <worksheetSource ref="A1:U414" sheet="opportunities"/>
  </cacheSource>
  <cacheFields count="21">
    <cacheField name="Opportunity_ID" numFmtId="0">
      <sharedItems/>
    </cacheField>
    <cacheField name="Account_ID" numFmtId="0">
      <sharedItems/>
    </cacheField>
    <cacheField name="Account_Name" numFmtId="0">
      <sharedItems/>
    </cacheField>
    <cacheField name="Opportunity_Owner" numFmtId="0">
      <sharedItems/>
    </cacheField>
    <cacheField name="Opportunity_Name" numFmtId="0">
      <sharedItems/>
    </cacheField>
    <cacheField name="Type" numFmtId="0">
      <sharedItems containsBlank="1"/>
    </cacheField>
    <cacheField name="Stage" numFmtId="0">
      <sharedItems/>
    </cacheField>
    <cacheField name="Amount" numFmtId="0">
      <sharedItems containsSemiMixedTypes="0" containsString="0" containsNumber="1" minValue="0" maxValue="8049213.7800000003"/>
    </cacheField>
    <cacheField name="Amount_Currency" numFmtId="0">
      <sharedItems containsBlank="1"/>
    </cacheField>
    <cacheField name="Total_Product_Amount" numFmtId="0">
      <sharedItems containsString="0" containsBlank="1" containsNumber="1" minValue="0" maxValue="8049213.7800000003"/>
    </cacheField>
    <cacheField name="Total_Product_Amount_Currency" numFmtId="0">
      <sharedItems containsBlank="1"/>
    </cacheField>
    <cacheField name="Product_Name" numFmtId="0">
      <sharedItems containsBlank="1"/>
    </cacheField>
    <cacheField name="Close_Date" numFmtId="14">
      <sharedItems containsSemiMixedTypes="0" containsNonDate="0" containsDate="1" containsString="0" minDate="2026-01-04T00:00:00" maxDate="2026-12-04T00:00:00"/>
    </cacheField>
    <cacheField name="Created_Date" numFmtId="14">
      <sharedItems containsSemiMixedTypes="0" containsNonDate="0" containsDate="1" containsString="0" minDate="2025-01-10T00:00:00" maxDate="2026-12-04T00:00:00"/>
    </cacheField>
    <cacheField name="Lead_Source" numFmtId="0">
      <sharedItems/>
    </cacheField>
    <cacheField name="Lead_Office" numFmtId="0">
      <sharedItems/>
    </cacheField>
    <cacheField name="Stage_Duration" numFmtId="0">
      <sharedItems containsMixedTypes="1" containsNumber="1" containsInteger="1" minValue="33" maxValue="33"/>
    </cacheField>
    <cacheField name="Delivery_Length_Months" numFmtId="0">
      <sharedItems containsBlank="1"/>
    </cacheField>
    <cacheField name="Lead_Source_Category" numFmtId="0">
      <sharedItems/>
    </cacheField>
    <cacheField name="Business_Type" numFmtId="0">
      <sharedItems count="2">
        <s v="New Business"/>
        <s v="Upsell"/>
      </sharedItems>
    </cacheField>
    <cacheField name="Mes_Ano" numFmtId="0">
      <sharedItems count="12">
        <s v="05/2026"/>
        <s v="06/2026"/>
        <s v="03/2026"/>
        <s v="02/2026"/>
        <s v="01/2026"/>
        <s v="04/2026"/>
        <s v="12/2026"/>
        <s v="09/2026"/>
        <s v="07/2026"/>
        <s v="11/2026"/>
        <s v="10/2026"/>
        <s v="08/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Bya" refreshedDate="46138.480017361115" createdVersion="6" refreshedVersion="6" minRefreshableVersion="3" recordCount="413">
  <cacheSource type="worksheet">
    <worksheetSource ref="A1:S414" sheet="opportunities"/>
  </cacheSource>
  <cacheFields count="19">
    <cacheField name="Opportunity_ID" numFmtId="0">
      <sharedItems/>
    </cacheField>
    <cacheField name="Account_ID" numFmtId="0">
      <sharedItems/>
    </cacheField>
    <cacheField name="Account_Name" numFmtId="0">
      <sharedItems/>
    </cacheField>
    <cacheField name="Opportunity_Owner" numFmtId="0">
      <sharedItems/>
    </cacheField>
    <cacheField name="Opportunity_Name" numFmtId="0">
      <sharedItems/>
    </cacheField>
    <cacheField name="Type" numFmtId="0">
      <sharedItems containsBlank="1"/>
    </cacheField>
    <cacheField name="Stage" numFmtId="0">
      <sharedItems/>
    </cacheField>
    <cacheField name="Amount" numFmtId="0">
      <sharedItems containsSemiMixedTypes="0" containsString="0" containsNumber="1" minValue="0" maxValue="8049213.7800000003"/>
    </cacheField>
    <cacheField name="Amount_Currency" numFmtId="0">
      <sharedItems containsBlank="1"/>
    </cacheField>
    <cacheField name="Total_Product_Amount" numFmtId="0">
      <sharedItems containsString="0" containsBlank="1" containsNumber="1" minValue="0" maxValue="8049213.7800000003"/>
    </cacheField>
    <cacheField name="Total_Product_Amount_Currency" numFmtId="0">
      <sharedItems containsBlank="1"/>
    </cacheField>
    <cacheField name="Product_Name" numFmtId="0">
      <sharedItems containsBlank="1"/>
    </cacheField>
    <cacheField name="Close_Date" numFmtId="14">
      <sharedItems containsSemiMixedTypes="0" containsNonDate="0" containsDate="1" containsString="0" minDate="2026-01-04T00:00:00" maxDate="2026-12-04T00:00:00" count="71">
        <d v="2026-04-30T00:00:00"/>
        <d v="2026-05-29T00:00:00"/>
        <d v="2026-03-26T00:00:00"/>
        <d v="2026-06-30T00:00:00"/>
        <d v="2026-02-27T00:00:00"/>
        <d v="2026-03-24T00:00:00"/>
        <d v="2026-05-31T00:00:00"/>
        <d v="2026-04-13T00:00:00"/>
        <d v="2026-05-03T00:00:00"/>
        <d v="2026-05-13T00:00:00"/>
        <d v="2026-06-29T00:00:00"/>
        <d v="2026-03-31T00:00:00"/>
        <d v="2026-11-05T00:00:00"/>
        <d v="2026-07-31T00:00:00"/>
        <d v="2026-09-03T00:00:00"/>
        <d v="2026-08-05T00:00:00"/>
        <d v="2026-01-06T00:00:00"/>
        <d v="2026-05-01T00:00:00"/>
        <d v="2026-01-27T00:00:00"/>
        <d v="2026-02-06T00:00:00"/>
        <d v="2026-02-13T00:00:00"/>
        <d v="2026-04-05T00:00:00"/>
        <d v="2026-04-27T00:00:00"/>
        <d v="2026-09-05T00:00:00"/>
        <d v="2026-09-01T00:00:00"/>
        <d v="2026-12-03T00:00:00"/>
        <d v="2026-02-25T00:00:00"/>
        <d v="2026-01-22T00:00:00"/>
        <d v="2026-01-04T00:00:00"/>
        <d v="2026-12-01T00:00:00"/>
        <d v="2026-01-14T00:00:00"/>
        <d v="2026-08-04T00:00:00"/>
        <d v="2026-04-29T00:00:00"/>
        <d v="2026-02-26T00:00:00"/>
        <d v="2026-06-01T00:00:00"/>
        <d v="2026-01-05T00:00:00"/>
        <d v="2026-08-06T00:00:00"/>
        <d v="2026-03-25T00:00:00"/>
        <d v="2026-03-30T00:00:00"/>
        <d v="2026-05-25T00:00:00"/>
        <d v="2026-02-24T00:00:00"/>
        <d v="2026-05-14T00:00:00"/>
        <d v="2026-02-23T00:00:00"/>
        <d v="2026-01-31T00:00:00"/>
        <d v="2026-03-23T00:00:00"/>
        <d v="2026-03-20T00:00:00"/>
        <d v="2026-10-04T00:00:00"/>
        <d v="2026-03-18T00:00:00"/>
        <d v="2026-04-17T00:00:00"/>
        <d v="2026-08-01T00:00:00"/>
        <d v="2026-01-30T00:00:00"/>
        <d v="2026-11-03T00:00:00"/>
        <d v="2026-01-21T00:00:00"/>
        <d v="2026-04-24T00:00:00"/>
        <d v="2026-10-03T00:00:00"/>
        <d v="2026-01-29T00:00:00"/>
        <d v="2026-01-19T00:00:00"/>
        <d v="2026-02-04T00:00:00"/>
        <d v="2026-03-02T00:00:00"/>
        <d v="2026-09-02T00:00:00"/>
        <d v="2026-04-26T00:00:00"/>
        <d v="2026-05-18T00:00:00"/>
        <d v="2026-01-15T00:00:00"/>
        <d v="2026-01-20T00:00:00"/>
        <d v="2026-06-07T00:00:00"/>
        <d v="2026-02-02T00:00:00"/>
        <d v="2026-04-28T00:00:00"/>
        <d v="2026-02-19T00:00:00"/>
        <d v="2026-01-07T00:00:00"/>
        <d v="2026-06-05T00:00:00"/>
        <d v="2026-10-05T00:00:00"/>
      </sharedItems>
    </cacheField>
    <cacheField name="Created_Date" numFmtId="14">
      <sharedItems containsSemiMixedTypes="0" containsNonDate="0" containsDate="1" containsString="0" minDate="2025-01-10T00:00:00" maxDate="2026-12-04T00:00:00"/>
    </cacheField>
    <cacheField name="Lead_Source" numFmtId="0">
      <sharedItems/>
    </cacheField>
    <cacheField name="Lead_Office" numFmtId="0">
      <sharedItems/>
    </cacheField>
    <cacheField name="Stage_Duration" numFmtId="0">
      <sharedItems containsMixedTypes="1" containsNumber="1" containsInteger="1" minValue="33" maxValue="33"/>
    </cacheField>
    <cacheField name="Delivery_Length_Months" numFmtId="0">
      <sharedItems containsBlank="1"/>
    </cacheField>
    <cacheField name="Lead_Source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Bya" refreshedDate="46138.480498726851" createdVersion="6" refreshedVersion="6" minRefreshableVersion="3" recordCount="413">
  <cacheSource type="worksheet">
    <worksheetSource ref="A1:S414" sheet="opportunities"/>
  </cacheSource>
  <cacheFields count="19">
    <cacheField name="Opportunity_ID" numFmtId="0">
      <sharedItems/>
    </cacheField>
    <cacheField name="Account_ID" numFmtId="0">
      <sharedItems/>
    </cacheField>
    <cacheField name="Account_Name" numFmtId="0">
      <sharedItems/>
    </cacheField>
    <cacheField name="Opportunity_Owner" numFmtId="0">
      <sharedItems/>
    </cacheField>
    <cacheField name="Opportunity_Name" numFmtId="0">
      <sharedItems/>
    </cacheField>
    <cacheField name="Type" numFmtId="0">
      <sharedItems containsBlank="1"/>
    </cacheField>
    <cacheField name="Stage" numFmtId="0">
      <sharedItems count="9">
        <s v="Registration"/>
        <s v="Pitched"/>
        <s v="Closed Won"/>
        <s v="Negotiation"/>
        <s v="Pitching"/>
        <s v="Opportunity Identified"/>
        <s v="Qualified"/>
        <s v="Clossed Won" u="1"/>
        <s v="Closed Wonn" u="1"/>
      </sharedItems>
    </cacheField>
    <cacheField name="Amount" numFmtId="0">
      <sharedItems containsSemiMixedTypes="0" containsString="0" containsNumber="1" minValue="0" maxValue="8049213.7800000003"/>
    </cacheField>
    <cacheField name="Amount_Currency" numFmtId="0">
      <sharedItems containsBlank="1"/>
    </cacheField>
    <cacheField name="Total_Product_Amount" numFmtId="0">
      <sharedItems containsString="0" containsBlank="1" containsNumber="1" minValue="0" maxValue="8049213.7800000003"/>
    </cacheField>
    <cacheField name="Total_Product_Amount_Currency" numFmtId="0">
      <sharedItems containsBlank="1"/>
    </cacheField>
    <cacheField name="Product_Name" numFmtId="0">
      <sharedItems containsBlank="1"/>
    </cacheField>
    <cacheField name="Close_Date" numFmtId="14">
      <sharedItems containsSemiMixedTypes="0" containsNonDate="0" containsDate="1" containsString="0" minDate="2026-01-04T00:00:00" maxDate="2026-12-04T00:00:00"/>
    </cacheField>
    <cacheField name="Created_Date" numFmtId="14">
      <sharedItems containsSemiMixedTypes="0" containsNonDate="0" containsDate="1" containsString="0" minDate="2025-01-10T00:00:00" maxDate="2026-12-04T00:00:00"/>
    </cacheField>
    <cacheField name="Lead_Source" numFmtId="0">
      <sharedItems/>
    </cacheField>
    <cacheField name="Lead_Office" numFmtId="0">
      <sharedItems/>
    </cacheField>
    <cacheField name="Stage_Duration" numFmtId="0">
      <sharedItems containsMixedTypes="1" containsNumber="1" containsInteger="1" minValue="33" maxValue="33"/>
    </cacheField>
    <cacheField name="Delivery_Length_Months" numFmtId="0">
      <sharedItems containsBlank="1"/>
    </cacheField>
    <cacheField name="Lead_Source_Category" numFmtId="0">
      <sharedItems containsBlank="1" count="6">
        <s v="Customer Success"/>
        <s v="Unknown"/>
        <s v="Referral"/>
        <s v="Inbound"/>
        <s v="Event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Bya" refreshedDate="46138.480801273145" createdVersion="6" refreshedVersion="6" minRefreshableVersion="3" recordCount="413">
  <cacheSource type="worksheet">
    <worksheetSource ref="A1:V414" sheet="opportunities"/>
  </cacheSource>
  <cacheFields count="22">
    <cacheField name="Opportunity_ID" numFmtId="0">
      <sharedItems/>
    </cacheField>
    <cacheField name="Account_ID" numFmtId="0">
      <sharedItems/>
    </cacheField>
    <cacheField name="Account_Name" numFmtId="0">
      <sharedItems count="137">
        <s v="Acacia Telecom"/>
        <s v="Arrow Construction"/>
        <s v="Basil Sports"/>
        <s v="Cedar Foods"/>
        <s v="Company 111"/>
        <s v="Company 114"/>
        <s v="Company 118"/>
        <s v="Dune Ecommerce"/>
        <s v="Ember Hospitality"/>
        <s v="Hemlock Insurance"/>
        <s v="Iris Delivery"/>
        <s v="Jasper Security"/>
        <s v="Juniper Data"/>
        <s v="Kiwi Logistics"/>
        <s v="Linden Foods"/>
        <s v="Magnolia Retail"/>
        <s v="Nigella Security"/>
        <s v="Nova Studios"/>
        <s v="Orion Bank"/>
        <s v="Pomelo Ecommerce"/>
        <s v="Pyrite Fintech"/>
        <s v="Quince Travel"/>
        <s v="Ramson Gaming"/>
        <s v="Saffron Fashion"/>
        <s v="Velvet Cosmetics"/>
        <s v="Violet Agriculture"/>
        <s v="Walnut Manufacturing"/>
        <s v="Willow Beauty"/>
        <s v="Wren Chemicals"/>
        <s v="Xanadu Media"/>
        <s v="Yarrow Health"/>
        <s v="Yumberry Mobile"/>
        <s v="Zephyr Telecom"/>
        <s v="Company 121"/>
        <s v="Delta Streaming"/>
        <s v="Kestrel Logistics"/>
        <s v="Larkspur Foods"/>
        <s v="Umber Design"/>
        <s v="Aurora Retail"/>
        <s v="Bluefin Logistics"/>
        <s v="Cobalt SaaS"/>
        <s v="Company 127"/>
        <s v="Hazel Construction"/>
        <s v="Honeysuckle Travel"/>
        <s v="Lavender Publishing"/>
        <s v="Nimbus Media"/>
        <s v="Onyx Utilities"/>
        <s v="Quartz Pharma"/>
        <s v="Topaz Publishing"/>
        <s v="Umbra Gaming"/>
        <s v="Gravel Manufacturing"/>
        <s v="Harbor Grocers"/>
        <s v="Rowan Energy"/>
        <s v="Xenon Realty"/>
        <s v="Yerba Studios"/>
        <s v="Quinoa Foods"/>
        <s v="Tamarind Bank"/>
        <s v="Filbert Sports"/>
        <s v="Nectarine Cosmetics"/>
        <s v="Sage Streaming"/>
        <s v="Summit Auto"/>
        <s v="Vervain Mobility"/>
        <s v="Yucca Farms"/>
        <s v="Zucchini Logistics"/>
        <s v="Company 120"/>
        <s v="Basalt Mining"/>
        <s v="Company 112"/>
        <s v="Fennel Footwear"/>
        <s v="Quince Pharma"/>
        <s v="Sable Footwear"/>
        <s v="Wisteria Publishing"/>
        <s v="Zedoary Chemicals"/>
        <s v="Anise Beauty"/>
        <s v="Company 119"/>
        <s v="Copper Air"/>
        <s v="Cypress Air"/>
        <s v="Dogwood Pharma"/>
        <s v="Elm Realty"/>
        <s v="Fern Agriculture"/>
        <s v="Fjord Travel"/>
        <s v="Helios Tech"/>
        <s v="Sumac Telecom"/>
        <s v="Thistle Tech"/>
        <s v="Xerus Mobility"/>
        <s v="Zinnia Apparel"/>
        <s v="Ume Insurance"/>
        <s v="Company 116"/>
        <s v="Company 117"/>
        <s v="Dill Delivery"/>
        <s v="Ibis Mobility"/>
        <s v="Jojoba Cosmetics"/>
        <s v="Juno Health"/>
        <s v="Olive Hospitality"/>
        <s v="Oregano Air"/>
        <s v="Thyme SaaS"/>
        <s v="Usnea Apparel"/>
        <s v="Vanilla Beverages"/>
        <s v="Xylitol Beverages"/>
        <s v="Cardamom Design"/>
        <s v="Company 125"/>
        <s v="Indigo Utilities"/>
        <s v="Nutmeg Gaming"/>
        <s v="Birch Studios"/>
        <s v="Company 113"/>
        <s v="Company 115"/>
        <s v="Company 122"/>
        <s v="Ginger Realty"/>
        <s v="Ginkgo Utilities"/>
        <s v="Glacier Energy"/>
        <s v="Ivy Cloud"/>
        <s v="Kite Mobile"/>
        <s v="Kudzu Retail"/>
        <s v="Moringa Health"/>
        <s v="Obsidian Bank"/>
        <s v="Poppy Media"/>
        <s v="Raven Sports"/>
        <s v="Rosemary Auto"/>
        <s v="Vertex Apparel"/>
        <s v="Wormwood Bank"/>
        <s v="Company 123"/>
        <s v="Company 124"/>
        <s v="Company 126"/>
        <s v="Company 128"/>
        <s v="Company 129"/>
        <s v="Echo Insurance"/>
        <s v="Eucalyptus Fintech"/>
        <s v="Lotus Beverages"/>
        <s v="Mesa Electronics"/>
        <s v="Mulberry Electronics"/>
        <s v="Patchouli Energy"/>
        <s v="Raven São Paulo, BRorts" u="1"/>
        <s v="JaSão Paulo, BRer Security" u="1"/>
        <s v="LarkSão Paulo, BRur Foods" u="1"/>
        <s v="Ember HoSão Paulo, BRitality" u="1"/>
        <s v="Olive HoSão Paulo, BRitality" u="1"/>
        <s v="Basil São Paulo, BRorts" u="1"/>
        <s v="Filbert São Paulo, BRorts" u="1"/>
      </sharedItems>
    </cacheField>
    <cacheField name="Opportunity_Owner" numFmtId="0">
      <sharedItems/>
    </cacheField>
    <cacheField name="Opportunity_Name" numFmtId="0">
      <sharedItems/>
    </cacheField>
    <cacheField name="Type" numFmtId="0">
      <sharedItems containsBlank="1"/>
    </cacheField>
    <cacheField name="Stage" numFmtId="0">
      <sharedItems count="7">
        <s v="Registration"/>
        <s v="Pitched"/>
        <s v="Closed Won"/>
        <s v="Negotiation"/>
        <s v="Pitching"/>
        <s v="Opportunity Identified"/>
        <s v="Qualified"/>
      </sharedItems>
    </cacheField>
    <cacheField name="Amount" numFmtId="0">
      <sharedItems containsSemiMixedTypes="0" containsString="0" containsNumber="1" minValue="0" maxValue="8049213.7800000003"/>
    </cacheField>
    <cacheField name="Amount_Currency" numFmtId="0">
      <sharedItems containsBlank="1"/>
    </cacheField>
    <cacheField name="Total_Product_Amount" numFmtId="0">
      <sharedItems containsString="0" containsBlank="1" containsNumber="1" minValue="0" maxValue="8049213.7800000003"/>
    </cacheField>
    <cacheField name="Total_Product_Amount_Currency" numFmtId="0">
      <sharedItems containsBlank="1"/>
    </cacheField>
    <cacheField name="Product_Name" numFmtId="0">
      <sharedItems containsBlank="1"/>
    </cacheField>
    <cacheField name="Close_Date" numFmtId="14">
      <sharedItems containsSemiMixedTypes="0" containsNonDate="0" containsDate="1" containsString="0" minDate="2026-01-04T00:00:00" maxDate="2026-12-04T00:00:00"/>
    </cacheField>
    <cacheField name="Created_Date" numFmtId="14">
      <sharedItems containsSemiMixedTypes="0" containsNonDate="0" containsDate="1" containsString="0" minDate="2025-01-10T00:00:00" maxDate="2026-12-04T00:00:00"/>
    </cacheField>
    <cacheField name="Lead_Source" numFmtId="0">
      <sharedItems/>
    </cacheField>
    <cacheField name="Lead_Office" numFmtId="0">
      <sharedItems/>
    </cacheField>
    <cacheField name="Stage_Duration" numFmtId="0">
      <sharedItems containsMixedTypes="1" containsNumber="1" containsInteger="1" minValue="33" maxValue="33"/>
    </cacheField>
    <cacheField name="Delivery_Length_Months" numFmtId="0">
      <sharedItems containsBlank="1"/>
    </cacheField>
    <cacheField name="Lead_Source_Category" numFmtId="0">
      <sharedItems/>
    </cacheField>
    <cacheField name="Business_Type" numFmtId="0">
      <sharedItems/>
    </cacheField>
    <cacheField name="Month_Year" numFmtId="0">
      <sharedItems/>
    </cacheField>
    <cacheField name="Sales_Cycle_Days" numFmtId="0">
      <sharedItems containsMixedTypes="1" containsNumber="1" containsInteger="1" minValue="1" maxValue="6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Bya" refreshedDate="46138.482038425929" createdVersion="6" refreshedVersion="6" minRefreshableVersion="3" recordCount="413">
  <cacheSource type="worksheet">
    <worksheetSource ref="A1:S414" sheet="opportunities"/>
  </cacheSource>
  <cacheFields count="19">
    <cacheField name="Opportunity_ID" numFmtId="0">
      <sharedItems count="261">
        <s v="OPP-10150"/>
        <s v="OPP-10134"/>
        <s v="OPP-10123"/>
        <s v="OPP-10110"/>
        <s v="OPP-10099"/>
        <s v="OPP-10242"/>
        <s v="OPP-10154"/>
        <s v="OPP-10071"/>
        <s v="OPP-10149"/>
        <s v="OPP-10183"/>
        <s v="OPP-10148"/>
        <s v="OPP-10029"/>
        <s v="OPP-10208"/>
        <s v="OPP-10106"/>
        <s v="OPP-10050"/>
        <s v="OPP-10035"/>
        <s v="OPP-10108"/>
        <s v="OPP-10019"/>
        <s v="OPP-10144"/>
        <s v="OPP-10118"/>
        <s v="OPP-10055"/>
        <s v="OPP-10057"/>
        <s v="OPP-10012"/>
        <s v="OPP-10140"/>
        <s v="OPP-10024"/>
        <s v="OPP-10169"/>
        <s v="OPP-10030"/>
        <s v="OPP-10186"/>
        <s v="OPP-10017"/>
        <s v="OPP-10072"/>
        <s v="OPP-10089"/>
        <s v="OPP-10119"/>
        <s v="OPP-10159"/>
        <s v="OPP-10174"/>
        <s v="OPP-10171"/>
        <s v="OPP-10207"/>
        <s v="OPP-10241"/>
        <s v="OPP-10172"/>
        <s v="OPP-10043"/>
        <s v="OPP-10045"/>
        <s v="OPP-10227"/>
        <s v="OPP-10094"/>
        <s v="OPP-10193"/>
        <s v="OPP-10158"/>
        <s v="OPP-10079"/>
        <s v="OPP-10157"/>
        <s v="OPP-10067"/>
        <s v="OPP-10240"/>
        <s v="OPP-10151"/>
        <s v="OPP-10160"/>
        <s v="OPP-10007"/>
        <s v="OPP-10194"/>
        <s v="OPP-10096"/>
        <s v="OPP-10132"/>
        <s v="OPP-10027"/>
        <s v="OPP-10111"/>
        <s v="OPP-10255"/>
        <s v="OPP-10066"/>
        <s v="OPP-10046"/>
        <s v="OPP-10120"/>
        <s v="OPP-10212"/>
        <s v="OPP-10113"/>
        <s v="OPP-10034"/>
        <s v="OPP-10221"/>
        <s v="OPP-10109"/>
        <s v="OPP-10058"/>
        <s v="OPP-10001"/>
        <s v="OPP-10203"/>
        <s v="OPP-10124"/>
        <s v="OPP-10100"/>
        <s v="OPP-10065"/>
        <s v="OPP-10234"/>
        <s v="OPP-10223"/>
        <s v="OPP-10036"/>
        <s v="OPP-10061"/>
        <s v="OPP-10084"/>
        <s v="OPP-10187"/>
        <s v="OPP-10168"/>
        <s v="OPP-10020"/>
        <s v="OPP-10195"/>
        <s v="OPP-10098"/>
        <s v="OPP-10217"/>
        <s v="OPP-10164"/>
        <s v="OPP-10213"/>
        <s v="OPP-10085"/>
        <s v="OPP-10143"/>
        <s v="OPP-10051"/>
        <s v="OPP-10076"/>
        <s v="OPP-10091"/>
        <s v="OPP-10031"/>
        <s v="OPP-10128"/>
        <s v="OPP-10236"/>
        <s v="OPP-10165"/>
        <s v="OPP-10087"/>
        <s v="OPP-10133"/>
        <s v="OPP-10121"/>
        <s v="OPP-10181"/>
        <s v="OPP-10138"/>
        <s v="OPP-10048"/>
        <s v="OPP-10189"/>
        <s v="OPP-10184"/>
        <s v="OPP-10074"/>
        <s v="OPP-10129"/>
        <s v="OPP-10260"/>
        <s v="OPP-10229"/>
        <s v="OPP-10251"/>
        <s v="OPP-10016"/>
        <s v="OPP-10130"/>
        <s v="OPP-10112"/>
        <s v="OPP-10188"/>
        <s v="OPP-10175"/>
        <s v="OPP-10040"/>
        <s v="OPP-10090"/>
        <s v="OPP-10173"/>
        <s v="OPP-10231"/>
        <s v="OPP-10004"/>
        <s v="OPP-10038"/>
        <s v="OPP-10147"/>
        <s v="OPP-10052"/>
        <s v="OPP-10191"/>
        <s v="OPP-10083"/>
        <s v="OPP-10097"/>
        <s v="OPP-10176"/>
        <s v="OPP-10060"/>
        <s v="OPP-10178"/>
        <s v="OPP-10068"/>
        <s v="OPP-10198"/>
        <s v="OPP-10021"/>
        <s v="OPP-10064"/>
        <s v="OPP-10010"/>
        <s v="OPP-10044"/>
        <s v="OPP-10032"/>
        <s v="OPP-10233"/>
        <s v="OPP-10023"/>
        <s v="OPP-10243"/>
        <s v="OPP-10054"/>
        <s v="OPP-10063"/>
        <s v="OPP-10142"/>
        <s v="OPP-10059"/>
        <s v="OPP-10179"/>
        <s v="OPP-10006"/>
        <s v="OPP-10086"/>
        <s v="OPP-10008"/>
        <s v="OPP-10053"/>
        <s v="OPP-10081"/>
        <s v="OPP-10139"/>
        <s v="OPP-10014"/>
        <s v="OPP-10192"/>
        <s v="OPP-10182"/>
        <s v="OPP-10152"/>
        <s v="OPP-10153"/>
        <s v="OPP-10037"/>
        <s v="OPP-10219"/>
        <s v="OPP-10105"/>
        <s v="OPP-10204"/>
        <s v="OPP-10002"/>
        <s v="OPP-10218"/>
        <s v="OPP-10114"/>
        <s v="OPP-10125"/>
        <s v="OPP-10190"/>
        <s v="OPP-10209"/>
        <s v="OPP-10047"/>
        <s v="OPP-10126"/>
        <s v="OPP-10005"/>
        <s v="OPP-10162"/>
        <s v="OPP-10003"/>
        <s v="OPP-10069"/>
        <s v="OPP-10166"/>
        <s v="OPP-10117"/>
        <s v="OPP-10254"/>
        <s v="OPP-10232"/>
        <s v="OPP-10228"/>
        <s v="OPP-10145"/>
        <s v="OPP-10062"/>
        <s v="OPP-10170"/>
        <s v="OPP-10070"/>
        <s v="OPP-10080"/>
        <s v="OPP-10011"/>
        <s v="OPP-10131"/>
        <s v="OPP-10239"/>
        <s v="OPP-10015"/>
        <s v="OPP-10026"/>
        <s v="OPP-10161"/>
        <s v="OPP-10028"/>
        <s v="OPP-10018"/>
        <s v="OPP-10202"/>
        <s v="OPP-10259"/>
        <s v="OPP-10049"/>
        <s v="OPP-10205"/>
        <s v="OPP-10146"/>
        <s v="OPP-10197"/>
        <s v="OPP-10107"/>
        <s v="OPP-10073"/>
        <s v="OPP-10042"/>
        <s v="OPP-10245"/>
        <s v="OPP-10199"/>
        <s v="OPP-10093"/>
        <s v="OPP-10075"/>
        <s v="OPP-10185"/>
        <s v="OPP-10167"/>
        <s v="OPP-10250"/>
        <s v="OPP-10082"/>
        <s v="OPP-10180"/>
        <s v="OPP-10056"/>
        <s v="OPP-10095"/>
        <s v="OPP-10244"/>
        <s v="OPP-10249"/>
        <s v="OPP-10220"/>
        <s v="OPP-10155"/>
        <s v="OPP-10041"/>
        <s v="OPP-10137"/>
        <s v="OPP-10039"/>
        <s v="OPP-10078"/>
        <s v="OPP-10022"/>
        <s v="OPP-10077"/>
        <s v="OPP-10025"/>
        <s v="OPP-10163"/>
        <s v="OPP-10226"/>
        <s v="OPP-10102"/>
        <s v="OPP-10225"/>
        <s v="OPP-10101"/>
        <s v="OPP-10135"/>
        <s v="OPP-10136"/>
        <s v="OPP-10214"/>
        <s v="OPP-10009"/>
        <s v="OPP-10033"/>
        <s v="OPP-10092"/>
        <s v="OPP-10104"/>
        <s v="OPP-10256"/>
        <s v="OPP-10127"/>
        <s v="OPP-10088"/>
        <s v="OPP-10116"/>
        <s v="OPP-10235"/>
        <s v="OPP-10237"/>
        <s v="OPP-10103"/>
        <s v="OPP-10196"/>
        <s v="OPP-10216"/>
        <s v="OPP-10177"/>
        <s v="OPP-10230"/>
        <s v="OPP-10141"/>
        <s v="OPP-10206"/>
        <s v="OPP-10210"/>
        <s v="OPP-10248"/>
        <s v="OPP-10257"/>
        <s v="OPP-10258"/>
        <s v="OPP-10222"/>
        <s v="OPP-10211"/>
        <s v="OPP-10238"/>
        <s v="OPP-10247"/>
        <s v="OPP-10215"/>
        <s v="OPP-10253"/>
        <s v="OPP-10115"/>
        <s v="OPP-10156"/>
        <s v="OPP-10252"/>
        <s v="OPP-10013"/>
        <s v="OPP-10261"/>
        <s v="OPP-10246"/>
        <s v="OPP-10122"/>
        <s v="OPP-10224"/>
        <s v="OPP-10200"/>
        <s v="OPP-10201"/>
      </sharedItems>
    </cacheField>
    <cacheField name="Account_ID" numFmtId="0">
      <sharedItems/>
    </cacheField>
    <cacheField name="Account_Name" numFmtId="0">
      <sharedItems/>
    </cacheField>
    <cacheField name="Opportunity_Owner" numFmtId="0">
      <sharedItems/>
    </cacheField>
    <cacheField name="Opportunity_Name" numFmtId="0">
      <sharedItems/>
    </cacheField>
    <cacheField name="Type" numFmtId="0">
      <sharedItems containsBlank="1" count="7">
        <s v="Change Order/Upsell"/>
        <s v="Project - Not Competitive"/>
        <s v="Project - Competitive"/>
        <s v="Flex/Renewal"/>
        <s v="Retainer"/>
        <m/>
        <s v="Passthrough"/>
      </sharedItems>
    </cacheField>
    <cacheField name="Stage" numFmtId="0">
      <sharedItems count="9">
        <s v="Registration"/>
        <s v="Pitched"/>
        <s v="Closed Won"/>
        <s v="Negotiation"/>
        <s v="Pitching"/>
        <s v="Opportunity Identified"/>
        <s v="Qualified"/>
        <s v="Clossed Won" u="1"/>
        <s v="Closed Wonn" u="1"/>
      </sharedItems>
    </cacheField>
    <cacheField name="Amount" numFmtId="0">
      <sharedItems containsSemiMixedTypes="0" containsString="0" containsNumber="1" minValue="0" maxValue="8049213.7800000003"/>
    </cacheField>
    <cacheField name="Amount_Currency" numFmtId="0">
      <sharedItems containsBlank="1"/>
    </cacheField>
    <cacheField name="Total_Product_Amount" numFmtId="0">
      <sharedItems containsString="0" containsBlank="1" containsNumber="1" minValue="0" maxValue="8049213.7800000003"/>
    </cacheField>
    <cacheField name="Total_Product_Amount_Currency" numFmtId="0">
      <sharedItems containsBlank="1"/>
    </cacheField>
    <cacheField name="Product_Name" numFmtId="0">
      <sharedItems containsBlank="1"/>
    </cacheField>
    <cacheField name="Close_Date" numFmtId="14">
      <sharedItems containsSemiMixedTypes="0" containsNonDate="0" containsDate="1" containsString="0" minDate="2026-01-04T00:00:00" maxDate="2026-12-04T00:00:00"/>
    </cacheField>
    <cacheField name="Created_Date" numFmtId="14">
      <sharedItems containsSemiMixedTypes="0" containsNonDate="0" containsDate="1" containsString="0" minDate="2025-01-10T00:00:00" maxDate="2026-12-04T00:00:00"/>
    </cacheField>
    <cacheField name="Lead_Source" numFmtId="0">
      <sharedItems/>
    </cacheField>
    <cacheField name="Lead_Office" numFmtId="0">
      <sharedItems/>
    </cacheField>
    <cacheField name="Stage_Duration" numFmtId="0">
      <sharedItems containsMixedTypes="1" containsNumber="1" containsInteger="1" minValue="33" maxValue="33"/>
    </cacheField>
    <cacheField name="Delivery_Length_Months" numFmtId="0">
      <sharedItems containsBlank="1"/>
    </cacheField>
    <cacheField name="Lead_Source_Category" numFmtId="0">
      <sharedItems count="5">
        <s v="Customer Success"/>
        <s v="Unknown"/>
        <s v="Referral"/>
        <s v="Inbound"/>
        <s v="Ev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3">
  <r>
    <s v="OPP-10050"/>
    <s v="ACC-1045"/>
    <s v="JaSão Paulo, BRer Security"/>
    <s v="Felipe Lima"/>
    <s v="JaSão Paulo, BRer Security - Content - Platform - Performance, SEO, CRM &amp; Loyalty - 05/2026"/>
    <s v="Project - Competitive"/>
    <s v="Negotiation"/>
    <n v="6208423.2000000002"/>
    <s v="BRL"/>
    <n v="1026107.52"/>
    <s v="BRL"/>
    <s v="Content - Platform - Performance, SEO, CRM &amp; Loyalty"/>
    <d v="2026-05-13T00:00:00"/>
    <d v="2025-11-26T00:00:00"/>
    <s v="Referral - Internal"/>
    <s v="Votorantim, BR"/>
    <s v="64"/>
    <s v="12"/>
    <s v="Referral"/>
    <x v="0"/>
    <x v="0"/>
  </r>
  <r>
    <s v="OPP-10050"/>
    <s v="ACC-1045"/>
    <s v="JaSão Paulo, BRer Security"/>
    <s v="Felipe Lima"/>
    <s v="JaSão Paulo, BRer Security - DDM - Media - Managed Media (AOR) - 05/2026"/>
    <s v="Project - Competitive"/>
    <s v="Negotiation"/>
    <n v="6208423.2000000002"/>
    <s v="BRL"/>
    <n v="3334849.56"/>
    <s v="BRL"/>
    <s v="DDM - Media - Managed Media (AOR)"/>
    <d v="2026-05-13T00:00:00"/>
    <d v="2025-11-26T00:00:00"/>
    <s v="Referral - Internal"/>
    <s v="Votorantim, BR"/>
    <s v="64"/>
    <s v="12"/>
    <s v="Referral"/>
    <x v="0"/>
    <x v="0"/>
  </r>
  <r>
    <s v="OPP-10050"/>
    <s v="ACC-1045"/>
    <s v="JaSão Paulo, BRer Security"/>
    <s v="Felipe Lima"/>
    <s v="JaSão Paulo, BRer Security - DDM - Data - Services &amp; Tech - Services (Analytics &amp; Support) - 05/2026"/>
    <s v="Project - Competitive"/>
    <s v="Negotiation"/>
    <n v="6208423.2000000002"/>
    <s v="BRL"/>
    <n v="412673.64"/>
    <s v="BRL"/>
    <s v="DDM - Data - Services &amp; Tech - Services (Analytics &amp; Support)"/>
    <d v="2026-05-13T00:00:00"/>
    <d v="2025-11-26T00:00:00"/>
    <s v="Referral - Internal"/>
    <s v="Votorantim, BR"/>
    <s v="64"/>
    <s v="12"/>
    <s v="Referral"/>
    <x v="0"/>
    <x v="0"/>
  </r>
  <r>
    <s v="OPP-10050"/>
    <s v="ACC-1045"/>
    <s v="JaSão Paulo, BRer Security"/>
    <s v="Felipe Lima"/>
    <s v="JaSão Paulo, BRer Security - DDM - Media - Creative - 05/2026"/>
    <s v="Project - Competitive"/>
    <s v="Negotiation"/>
    <n v="6208423.2000000002"/>
    <s v="BRL"/>
    <n v="1014954.24"/>
    <s v="BRL"/>
    <s v="DDM - Media - Creative"/>
    <d v="2026-05-13T00:00:00"/>
    <d v="2025-11-26T00:00:00"/>
    <s v="Referral - Internal"/>
    <s v="Votorantim, BR"/>
    <s v="64"/>
    <s v="12"/>
    <s v="Referral"/>
    <x v="0"/>
    <x v="0"/>
  </r>
  <r>
    <s v="OPP-10050"/>
    <s v="ACC-1045"/>
    <s v="JaSão Paulo, BRer Security"/>
    <s v="Felipe Lima"/>
    <s v="JaSão Paulo, BRer Security - DDM - Data - Services &amp; Tech - Services (Data Science/Data Eng.) - 05/2026"/>
    <s v="Project - Competitive"/>
    <s v="Negotiation"/>
    <n v="6208423.2000000002"/>
    <s v="BRL"/>
    <n v="419838.24"/>
    <s v="BRL"/>
    <s v="DDM - Data - Services &amp; Tech - Services (Data Science/Data Eng.)"/>
    <d v="2026-05-13T00:00:00"/>
    <d v="2025-11-26T00:00:00"/>
    <s v="Referral - Internal"/>
    <s v="Votorantim, BR"/>
    <s v="64"/>
    <s v="12"/>
    <s v="Referral"/>
    <x v="0"/>
    <x v="0"/>
  </r>
  <r>
    <s v="OPP-10110"/>
    <s v="ACC-1062"/>
    <s v="Cedar Foods"/>
    <s v="Daniel Moura"/>
    <s v="Cedar Foods - DDM - Data - Services &amp; Tech - Services (Analytics &amp; Support) - 06/2026"/>
    <s v="Change Order/Upsell"/>
    <s v="Pitched"/>
    <n v="4565828.57"/>
    <s v="BRL"/>
    <n v="629262.96"/>
    <s v="BRL"/>
    <s v="DDM - Data - Services &amp; Tech - Services (Analytics &amp; Support)"/>
    <d v="2026-06-30T00:00:00"/>
    <d v="2026-01-26T00:00:00"/>
    <s v="Inbound - Current Client (DEPRECATED)"/>
    <s v="Votorantim, BR"/>
    <s v="33"/>
    <s v="12"/>
    <s v="Customer Success"/>
    <x v="1"/>
    <x v="1"/>
  </r>
  <r>
    <s v="OPP-10110"/>
    <s v="ACC-1062"/>
    <s v="Cedar Foods"/>
    <s v="Daniel Moura"/>
    <s v="Cedar Foods - Content - Platform - Performance, SEO, CRM &amp; Loyalty - 06/2026"/>
    <s v="Change Order/Upsell"/>
    <s v="Pitched"/>
    <n v="4565828.57"/>
    <s v="BRL"/>
    <n v="443593.21"/>
    <s v="BRL"/>
    <s v="Content - Platform - Performance, SEO, CRM &amp; Loyalty"/>
    <d v="2026-06-30T00:00:00"/>
    <d v="2026-01-26T00:00:00"/>
    <s v="Inbound - Current Client (DEPRECATED)"/>
    <s v="Votorantim, BR"/>
    <s v="33"/>
    <s v="12"/>
    <s v="Customer Success"/>
    <x v="1"/>
    <x v="1"/>
  </r>
  <r>
    <s v="OPP-10110"/>
    <s v="ACC-1062"/>
    <s v="Cedar Foods"/>
    <s v="Daniel Moura"/>
    <s v="Cedar Foods - DDM - Media - Managed Media (AOR) - 06/2026"/>
    <s v="Change Order/Upsell"/>
    <s v="Pitched"/>
    <n v="4565828.57"/>
    <s v="BRL"/>
    <n v="1423654.78"/>
    <s v="BRL"/>
    <s v="DDM - Media - Managed Media (AOR)"/>
    <d v="2026-06-30T00:00:00"/>
    <d v="2026-01-26T00:00:00"/>
    <s v="Inbound - Current Client (DEPRECATED)"/>
    <s v="Votorantim, BR"/>
    <s v="33"/>
    <s v="12"/>
    <s v="Customer Success"/>
    <x v="1"/>
    <x v="1"/>
  </r>
  <r>
    <s v="OPP-10110"/>
    <s v="ACC-1062"/>
    <s v="Cedar Foods"/>
    <s v="Daniel Moura"/>
    <s v="Cedar Foods - DDM - Media - Creative - 06/2026"/>
    <s v="Change Order/Upsell"/>
    <s v="Pitched"/>
    <n v="4565828.57"/>
    <s v="BRL"/>
    <n v="1162468.52"/>
    <s v="BRL"/>
    <s v="DDM - Media - Creative"/>
    <d v="2026-06-30T00:00:00"/>
    <d v="2026-01-26T00:00:00"/>
    <s v="Inbound - Current Client (DEPRECATED)"/>
    <s v="Votorantim, BR"/>
    <s v="33"/>
    <s v="12"/>
    <s v="Customer Success"/>
    <x v="1"/>
    <x v="1"/>
  </r>
  <r>
    <s v="OPP-10008"/>
    <s v="ACC-1015"/>
    <s v="Zinnia Apparel"/>
    <s v="Ana Silva"/>
    <s v="Zinnia Apparel - DDM - Data - Services &amp; Tech - Services (Analytics &amp; Support) - 03/2026"/>
    <s v="Flex/Renewal"/>
    <s v="Closed Won"/>
    <n v="2706200.27"/>
    <s v="BRL"/>
    <n v="573365.34"/>
    <s v="BRL"/>
    <s v="DDM - Data - Services &amp; Tech - Services (Analytics &amp; Support)"/>
    <d v="2026-03-31T00:00:00"/>
    <d v="2025-08-22T00:00:00"/>
    <s v="Inbound - Current Client (DEPRECATED)"/>
    <s v="São Carlos, BR"/>
    <s v="14"/>
    <s v="12"/>
    <s v="Customer Success"/>
    <x v="1"/>
    <x v="2"/>
  </r>
  <r>
    <s v="OPP-10008"/>
    <s v="ACC-1015"/>
    <s v="Zinnia Apparel"/>
    <s v="Ana Silva"/>
    <s v="Zinnia Apparel - DDM - Media - Creative - 03/2026"/>
    <s v="Flex/Renewal"/>
    <s v="Closed Won"/>
    <n v="2706200.27"/>
    <s v="BRL"/>
    <n v="70270.64"/>
    <s v="BRL"/>
    <s v="DDM - Media - Creative"/>
    <d v="2026-03-31T00:00:00"/>
    <d v="2025-08-22T00:00:00"/>
    <s v="Inbound - Current Client (DEPRECATED)"/>
    <s v="São Carlos, BR"/>
    <s v="14"/>
    <s v="12"/>
    <s v="Customer Success"/>
    <x v="1"/>
    <x v="2"/>
  </r>
  <r>
    <s v="OPP-10008"/>
    <s v="ACC-1015"/>
    <s v="Zinnia Apparel"/>
    <s v="Ana Silva"/>
    <s v="Zinnia Apparel - DDM - Media - Managed Media (AOR) - 03/2026"/>
    <s v="Flex/Renewal"/>
    <s v="Closed Won"/>
    <n v="2706200.27"/>
    <s v="BRL"/>
    <n v="145409.64000000001"/>
    <s v="BRL"/>
    <s v="DDM - Media - Managed Media (AOR)"/>
    <d v="2026-03-31T00:00:00"/>
    <d v="2025-08-22T00:00:00"/>
    <s v="Inbound - Current Client (DEPRECATED)"/>
    <s v="São Carlos, BR"/>
    <s v="14"/>
    <s v="12"/>
    <s v="Customer Success"/>
    <x v="1"/>
    <x v="2"/>
  </r>
  <r>
    <s v="OPP-10008"/>
    <s v="ACC-1015"/>
    <s v="Zinnia Apparel"/>
    <s v="Ana Silva"/>
    <s v="Zinnia Apparel - DDM - Media - Managed Media (AOR) - 03/2026"/>
    <s v="Flex/Renewal"/>
    <s v="Closed Won"/>
    <n v="2706200.27"/>
    <s v="BRL"/>
    <n v="1917154.65"/>
    <s v="BRL"/>
    <s v="DDM - Media - Managed Media (AOR)"/>
    <d v="2026-03-31T00:00:00"/>
    <d v="2025-08-22T00:00:00"/>
    <s v="Inbound - Current Client (DEPRECATED)"/>
    <s v="São Carlos, BR"/>
    <s v="14"/>
    <s v="12"/>
    <s v="Customer Success"/>
    <x v="1"/>
    <x v="2"/>
  </r>
  <r>
    <s v="OPP-10009"/>
    <s v="ACC-1029"/>
    <s v="Zephyr Telecom"/>
    <s v="Ana Silva"/>
    <s v="Zephyr Telecom - DDM - Media - Managed Media (AOR) - 02/2026"/>
    <s v="Flex/Renewal"/>
    <s v="Closed Won"/>
    <n v="8047338.7199999997"/>
    <s v="BRL"/>
    <n v="8047338.7199999997"/>
    <s v="BRL"/>
    <s v="DDM - Media - Managed Media (AOR)"/>
    <d v="2026-02-27T00:00:00"/>
    <d v="2025-08-22T00:00:00"/>
    <s v="Inbound - Current Client (DEPRECATED)"/>
    <s v="São Carlos, BR"/>
    <s v="46"/>
    <s v="12"/>
    <s v="Customer Success"/>
    <x v="1"/>
    <x v="3"/>
  </r>
  <r>
    <s v="OPP-10110"/>
    <s v="ACC-1062"/>
    <s v="Cedar Foods"/>
    <s v="Daniel Moura"/>
    <s v="Cedar Foods - Content - Social - AOR - 06/2026"/>
    <s v="Change Order/Upsell"/>
    <s v="Pitched"/>
    <n v="4565828.57"/>
    <s v="BRL"/>
    <n v="578334.1"/>
    <s v="BRL"/>
    <s v="Content - Social - AOR"/>
    <d v="2026-06-30T00:00:00"/>
    <d v="2026-01-26T00:00:00"/>
    <s v="Inbound - Current Client (DEPRECATED)"/>
    <s v="Votorantim, BR"/>
    <s v="33"/>
    <s v="12"/>
    <s v="Customer Success"/>
    <x v="1"/>
    <x v="1"/>
  </r>
  <r>
    <s v="OPP-10110"/>
    <s v="ACC-1062"/>
    <s v="Cedar Foods"/>
    <s v="Daniel Moura"/>
    <s v="Cedar Foods - Content - Platform - Performance, SEO, CRM &amp; Loyalty - 06/2026"/>
    <s v="Change Order/Upsell"/>
    <s v="Pitched"/>
    <n v="4565828.57"/>
    <s v="BRL"/>
    <n v="328515"/>
    <s v="BRL"/>
    <s v="Content - Platform - Performance, SEO, CRM &amp; Loyalty"/>
    <d v="2026-06-30T00:00:00"/>
    <d v="2026-01-26T00:00:00"/>
    <s v="Inbound - Current Client (DEPRECATED)"/>
    <s v="Votorantim, BR"/>
    <s v="33"/>
    <s v="12"/>
    <s v="Customer Success"/>
    <x v="1"/>
    <x v="1"/>
  </r>
  <r>
    <s v="OPP-10099"/>
    <s v="ACC-1112"/>
    <s v="Company 111"/>
    <s v="Xavier Correia"/>
    <s v="Company 111 - DDM - Media - Managed Media (AOR) - 02/2026"/>
    <s v="Project - Competitive"/>
    <s v="Closed Won"/>
    <n v="4293965.2399999993"/>
    <s v="BRL"/>
    <n v="2320969.56"/>
    <s v="BRL"/>
    <s v="DDM - Media - Managed Media (AOR)"/>
    <d v="2026-02-27T00:00:00"/>
    <d v="2026-01-20T00:00:00"/>
    <s v="Referral - S4 Company"/>
    <s v="São Carlos, BR"/>
    <s v="46"/>
    <s v="12"/>
    <s v="Referral"/>
    <x v="0"/>
    <x v="3"/>
  </r>
  <r>
    <s v="OPP-10099"/>
    <s v="ACC-1112"/>
    <s v="Company 111"/>
    <s v="Xavier Correia"/>
    <s v="Company 111 - Content - Platform - Performance, SEO, CRM &amp; Loyalty - 02/2026"/>
    <s v="Project - Competitive"/>
    <s v="Closed Won"/>
    <n v="4293965.2399999993"/>
    <s v="BRL"/>
    <n v="526427.28"/>
    <s v="BRL"/>
    <s v="Content - Platform - Performance, SEO, CRM &amp; Loyalty"/>
    <d v="2026-02-27T00:00:00"/>
    <d v="2026-01-20T00:00:00"/>
    <s v="Referral - S4 Company"/>
    <s v="São Carlos, BR"/>
    <s v="46"/>
    <s v="12"/>
    <s v="Referral"/>
    <x v="0"/>
    <x v="3"/>
  </r>
  <r>
    <s v="OPP-10099"/>
    <s v="ACC-1112"/>
    <s v="Company 111"/>
    <s v="Xavier Correia"/>
    <s v="Company 111 - DDM - Data - Services &amp; Tech - Services (Data Science/Data Eng.) - 02/2026"/>
    <s v="Project - Competitive"/>
    <s v="Closed Won"/>
    <n v="4293965.2399999993"/>
    <s v="BRL"/>
    <n v="631584"/>
    <s v="BRL"/>
    <s v="DDM - Data - Services &amp; Tech - Services (Data Science/Data Eng.)"/>
    <d v="2026-02-27T00:00:00"/>
    <d v="2026-01-20T00:00:00"/>
    <s v="Referral - S4 Company"/>
    <s v="São Carlos, BR"/>
    <s v="46"/>
    <s v="12"/>
    <s v="Referral"/>
    <x v="0"/>
    <x v="3"/>
  </r>
  <r>
    <s v="OPP-10099"/>
    <s v="ACC-1112"/>
    <s v="Company 111"/>
    <s v="Xavier Correia"/>
    <s v="Company 111 - Content - Platform - Service &amp; Maintenance - 02/2026"/>
    <s v="Project - Competitive"/>
    <s v="Closed Won"/>
    <n v="4293965.2399999993"/>
    <s v="BRL"/>
    <n v="375767.72"/>
    <s v="BRL"/>
    <s v="Content - Platform - Service &amp; Maintenance"/>
    <d v="2026-02-27T00:00:00"/>
    <d v="2026-01-20T00:00:00"/>
    <s v="Referral - S4 Company"/>
    <s v="São Carlos, BR"/>
    <s v="46"/>
    <s v="12"/>
    <s v="Referral"/>
    <x v="0"/>
    <x v="3"/>
  </r>
  <r>
    <s v="OPP-10015"/>
    <s v="ACC-1064"/>
    <s v="Arrow Construction"/>
    <s v="Daniel Moura"/>
    <s v="Arrow Construction - DDM - Media - Managed Media (AOR) - 01/2026"/>
    <s v="Flex/Renewal"/>
    <s v="Closed Won"/>
    <n v="106500"/>
    <s v="BRL"/>
    <n v="106500"/>
    <s v="BRL"/>
    <s v="DDM - Media - Managed Media (AOR)"/>
    <d v="2026-01-22T00:00:00"/>
    <d v="2025-09-19T00:00:00"/>
    <s v="Inbound - Current Client (DEPRECATED)"/>
    <s v="São Carlos, BR"/>
    <s v="82"/>
    <s v="12"/>
    <s v="Customer Success"/>
    <x v="1"/>
    <x v="4"/>
  </r>
  <r>
    <s v="OPP-10099"/>
    <s v="ACC-1112"/>
    <s v="Company 111"/>
    <s v="Xavier Correia"/>
    <s v="Company 111 - DDM - CRM - Other - 02/2026"/>
    <s v="Project - Competitive"/>
    <s v="Closed Won"/>
    <n v="4293965.2399999993"/>
    <s v="BRL"/>
    <n v="439216.68"/>
    <s v="BRL"/>
    <s v="DDM - CRM - Other"/>
    <d v="2026-02-27T00:00:00"/>
    <d v="2026-01-20T00:00:00"/>
    <s v="Referral - S4 Company"/>
    <s v="São Carlos, BR"/>
    <s v="46"/>
    <s v="12"/>
    <s v="Referral"/>
    <x v="0"/>
    <x v="3"/>
  </r>
  <r>
    <s v="OPP-10178"/>
    <s v="ACC-1053"/>
    <s v="Hemlock Insurance"/>
    <s v="Bernardo Castro"/>
    <s v="Hemlock Insurance - DDM - Data - Services &amp; Tech - Services (Analytics &amp; Support) - 06/2026"/>
    <s v="Change Order/Upsell"/>
    <s v="Pitched"/>
    <n v="3363176.34"/>
    <s v="BRL"/>
    <n v="3363176.34"/>
    <s v="BRL"/>
    <s v="DDM - Data - Services &amp; Tech - Services (Analytics &amp; Support)"/>
    <d v="2026-06-30T00:00:00"/>
    <d v="2026-12-03T00:00:00"/>
    <s v="Inbound - Current Client (DEPRECATED)"/>
    <s v="São Carlos, BR"/>
    <s v="29"/>
    <s v="12"/>
    <s v="Customer Success"/>
    <x v="1"/>
    <x v="1"/>
  </r>
  <r>
    <s v="OPP-10033"/>
    <s v="ACC-1029"/>
    <s v="Zephyr Telecom"/>
    <s v="Ana Silva"/>
    <s v="Zephyr Telecom - DDM - Media - Managed Media (AOR) - 02/2026"/>
    <s v="Change Order/Upsell"/>
    <s v="Closed Won"/>
    <n v="3208257.54"/>
    <s v="BRL"/>
    <n v="3208257.54"/>
    <s v="BRL"/>
    <s v="DDM - Media - Managed Media (AOR)"/>
    <d v="2026-02-27T00:00:00"/>
    <d v="2025-10-30T00:00:00"/>
    <s v="Inbound - Current Client (DEPRECATED)"/>
    <s v="São Carlos, BR"/>
    <s v="46"/>
    <s v="12"/>
    <s v="Customer Success"/>
    <x v="1"/>
    <x v="3"/>
  </r>
  <r>
    <s v="OPP-10001"/>
    <s v="ACC-1031"/>
    <s v="Nova Studios"/>
    <s v="Queila Ribeiro"/>
    <s v="Nova Studios - DDM - Media - Managed Media (AOR) - 04/2026"/>
    <s v="Change Order/Upsell"/>
    <s v="Registration"/>
    <n v="3043949.95"/>
    <s v="BRL"/>
    <n v="829077.09"/>
    <s v="BRL"/>
    <s v="DDM - Media - Managed Media (AOR)"/>
    <d v="2026-04-30T00:00:00"/>
    <d v="2025-05-19T00:00:00"/>
    <s v="Inbound - Current Client (DEPRECATED)"/>
    <s v="São Carlos, BR"/>
    <s v="130"/>
    <s v="12"/>
    <s v="Customer Success"/>
    <x v="1"/>
    <x v="5"/>
  </r>
  <r>
    <s v="OPP-10001"/>
    <s v="ACC-1031"/>
    <s v="Nova Studios"/>
    <s v="Queila Ribeiro"/>
    <s v="Nova Studios - Content - Social - AOR - 04/2026"/>
    <s v="Change Order/Upsell"/>
    <s v="Registration"/>
    <n v="3043949.95"/>
    <s v="BRL"/>
    <n v="1475924.6"/>
    <s v="BRL"/>
    <s v="Content - Social - AOR"/>
    <d v="2026-04-30T00:00:00"/>
    <d v="2025-05-19T00:00:00"/>
    <s v="Inbound - Current Client (DEPRECATED)"/>
    <s v="São Carlos, BR"/>
    <s v="130"/>
    <s v="12"/>
    <s v="Customer Success"/>
    <x v="1"/>
    <x v="5"/>
  </r>
  <r>
    <s v="OPP-10001"/>
    <s v="ACC-1031"/>
    <s v="Nova Studios"/>
    <s v="Queila Ribeiro"/>
    <s v="Nova Studios - DDM - Media - Creative - 04/2026"/>
    <s v="Change Order/Upsell"/>
    <s v="Registration"/>
    <n v="3043949.95"/>
    <s v="BRL"/>
    <n v="738948.26"/>
    <s v="BRL"/>
    <s v="DDM - Media - Creative"/>
    <d v="2026-04-30T00:00:00"/>
    <d v="2025-05-19T00:00:00"/>
    <s v="Inbound - Current Client (DEPRECATED)"/>
    <s v="São Carlos, BR"/>
    <s v="130"/>
    <s v="12"/>
    <s v="Customer Success"/>
    <x v="1"/>
    <x v="5"/>
  </r>
  <r>
    <s v="OPP-10021"/>
    <s v="ACC-1031"/>
    <s v="Nova Studios"/>
    <s v="Queila Ribeiro"/>
    <s v="Nova Studios - DDM - Data - Services &amp; Tech - Services (Analytics &amp; Support) - 03/2026"/>
    <s v="Flex/Renewal"/>
    <s v="Closed Won"/>
    <n v="4551785.4000000004"/>
    <s v="BRL"/>
    <n v="956103.36"/>
    <s v="BRL"/>
    <s v="DDM - Data - Services &amp; Tech - Services (Analytics &amp; Support)"/>
    <d v="2026-03-18T00:00:00"/>
    <d v="2025-03-10T00:00:00"/>
    <s v="Inbound - Current Client (DEPRECATED)"/>
    <s v="São Carlos, BR"/>
    <s v="27"/>
    <s v="12"/>
    <s v="Customer Success"/>
    <x v="1"/>
    <x v="2"/>
  </r>
  <r>
    <s v="OPP-10021"/>
    <s v="ACC-1031"/>
    <s v="Nova Studios"/>
    <s v="Queila Ribeiro"/>
    <s v="Nova Studios - DDM - Data - Services &amp; Tech - Services (Analytics &amp; Support) - 03/2026"/>
    <s v="Flex/Renewal"/>
    <s v="Closed Won"/>
    <n v="4551785.4000000004"/>
    <s v="BRL"/>
    <n v="804870.24"/>
    <s v="BRL"/>
    <s v="DDM - Data - Services &amp; Tech - Services (Analytics &amp; Support)"/>
    <d v="2026-03-18T00:00:00"/>
    <d v="2025-03-10T00:00:00"/>
    <s v="Inbound - Current Client (DEPRECATED)"/>
    <s v="São Carlos, BR"/>
    <s v="27"/>
    <s v="12"/>
    <s v="Customer Success"/>
    <x v="1"/>
    <x v="2"/>
  </r>
  <r>
    <s v="OPP-10021"/>
    <s v="ACC-1031"/>
    <s v="Nova Studios"/>
    <s v="Queila Ribeiro"/>
    <s v="Nova Studios - DDM - Data - Services &amp; Tech - Services (Analytics &amp; Support) - 03/2026"/>
    <s v="Flex/Renewal"/>
    <s v="Closed Won"/>
    <n v="4551785.4000000004"/>
    <s v="BRL"/>
    <n v="2790811.8"/>
    <s v="BRL"/>
    <s v="DDM - Data - Services &amp; Tech - Services (Analytics &amp; Support)"/>
    <d v="2026-03-18T00:00:00"/>
    <d v="2025-03-10T00:00:00"/>
    <s v="Inbound - Current Client (DEPRECATED)"/>
    <s v="São Carlos, BR"/>
    <s v="27"/>
    <s v="12"/>
    <s v="Customer Success"/>
    <x v="1"/>
    <x v="2"/>
  </r>
  <r>
    <s v="OPP-10022"/>
    <s v="ACC-1057"/>
    <s v="Raven Sports"/>
    <s v="Carla Mendes"/>
    <s v="Raven Sports - DDM - Media - Managed Media (AOR) - 03/2026"/>
    <s v="Flex/Renewal"/>
    <s v="Closed Won"/>
    <n v="286200"/>
    <s v="BRL"/>
    <n v="286200"/>
    <s v="BRL"/>
    <s v="DDM - Media - Managed Media (AOR)"/>
    <d v="2026-12-03T00:00:00"/>
    <d v="2025-09-10T00:00:00"/>
    <s v="Inbound - Current Client (DEPRECATED)"/>
    <s v="Votorantim, BR"/>
    <s v="33"/>
    <s v="4"/>
    <s v="Customer Success"/>
    <x v="1"/>
    <x v="6"/>
  </r>
  <r>
    <s v="OPP-10023"/>
    <s v="ACC-1038"/>
    <s v="Sumac Telecom"/>
    <s v="Pedro Martins"/>
    <s v="Sumac Telecom - DDM - Media - Managed Media (AOR) - 03/2026"/>
    <s v="Flex/Renewal"/>
    <s v="Closed Won"/>
    <n v="1758176.04"/>
    <s v="BRL"/>
    <n v="1310372.04"/>
    <s v="BRL"/>
    <s v="DDM - Media - Managed Media (AOR)"/>
    <d v="2026-09-03T00:00:00"/>
    <d v="2025-09-10T00:00:00"/>
    <s v="Inbound - Current Client (DEPRECATED)"/>
    <s v="Votorantim, BR"/>
    <s v="36"/>
    <s v="12"/>
    <s v="Customer Success"/>
    <x v="1"/>
    <x v="7"/>
  </r>
  <r>
    <s v="OPP-10023"/>
    <s v="ACC-1038"/>
    <s v="Sumac Telecom"/>
    <s v="Pedro Martins"/>
    <s v="Sumac Telecom - DDM - Media - Creative - 03/2026"/>
    <s v="Flex/Renewal"/>
    <s v="Closed Won"/>
    <n v="1758176.04"/>
    <s v="BRL"/>
    <n v="253104"/>
    <s v="BRL"/>
    <s v="DDM - Media - Creative"/>
    <d v="2026-09-03T00:00:00"/>
    <d v="2025-09-10T00:00:00"/>
    <s v="Inbound - Current Client (DEPRECATED)"/>
    <s v="Votorantim, BR"/>
    <s v="36"/>
    <s v="12"/>
    <s v="Customer Success"/>
    <x v="1"/>
    <x v="7"/>
  </r>
  <r>
    <s v="OPP-10023"/>
    <s v="ACC-1038"/>
    <s v="Sumac Telecom"/>
    <s v="Pedro Martins"/>
    <s v="Sumac Telecom - DDM - Data - Services &amp; Tech - Services (Analytics &amp; Support) - 03/2026"/>
    <s v="Flex/Renewal"/>
    <s v="Closed Won"/>
    <n v="1758176.04"/>
    <s v="BRL"/>
    <n v="194700"/>
    <s v="BRL"/>
    <s v="DDM - Data - Services &amp; Tech - Services (Analytics &amp; Support)"/>
    <d v="2026-09-03T00:00:00"/>
    <d v="2025-09-10T00:00:00"/>
    <s v="Inbound - Current Client (DEPRECATED)"/>
    <s v="Votorantim, BR"/>
    <s v="36"/>
    <s v="12"/>
    <s v="Customer Success"/>
    <x v="1"/>
    <x v="7"/>
  </r>
  <r>
    <s v="OPP-10057"/>
    <s v="ACC-1031"/>
    <s v="Nova Studios"/>
    <s v="Queila Ribeiro"/>
    <s v="Nova Studios - Content - Platform - Performance, SEO, CRM &amp; Loyalty - 07/2026"/>
    <s v="Change Order/Upsell"/>
    <s v="Negotiation"/>
    <n v="3015949.3200000003"/>
    <s v="BRL"/>
    <n v="1885842.96"/>
    <s v="BRL"/>
    <s v="Content - Platform - Performance, SEO, CRM &amp; Loyalty"/>
    <d v="2026-07-31T00:00:00"/>
    <d v="2025-01-12T00:00:00"/>
    <s v="Inbound - Current Client (DEPRECATED)"/>
    <s v="São Carlos, BR"/>
    <s v="134"/>
    <s v="12"/>
    <s v="Customer Success"/>
    <x v="1"/>
    <x v="8"/>
  </r>
  <r>
    <s v="OPP-10057"/>
    <s v="ACC-1031"/>
    <s v="Nova Studios"/>
    <s v="Queila Ribeiro"/>
    <s v="Nova Studios - DDM - Commerce - Content - 07/2026"/>
    <s v="Change Order/Upsell"/>
    <s v="Negotiation"/>
    <n v="3015949.3200000003"/>
    <s v="BRL"/>
    <n v="1130106.3600000001"/>
    <s v="BRL"/>
    <s v="DDM - Commerce - Content"/>
    <d v="2026-07-31T00:00:00"/>
    <d v="2025-01-12T00:00:00"/>
    <s v="Inbound - Current Client (DEPRECATED)"/>
    <s v="São Carlos, BR"/>
    <s v="134"/>
    <s v="12"/>
    <s v="Customer Success"/>
    <x v="1"/>
    <x v="8"/>
  </r>
  <r>
    <s v="OPP-10025"/>
    <s v="ACC-1027"/>
    <s v="Rosemary Auto"/>
    <s v="Daniel Moura"/>
    <s v="Rosemary Auto - DDM - Media - Managed Media (AOR) - 01/2026"/>
    <s v="Flex/Renewal"/>
    <s v="Closed Won"/>
    <n v="733504.44"/>
    <s v="BRL"/>
    <n v="733504.44"/>
    <s v="BRL"/>
    <s v="DDM - Media - Managed Media (AOR)"/>
    <d v="2026-12-01T00:00:00"/>
    <d v="2025-10-16T00:00:00"/>
    <s v="Inbound - Current Client (DEPRECATED)"/>
    <s v="São Carlos, BR"/>
    <s v="92"/>
    <s v="12"/>
    <s v="Customer Success"/>
    <x v="1"/>
    <x v="6"/>
  </r>
  <r>
    <s v="OPP-10026"/>
    <s v="ACC-1064"/>
    <s v="Arrow Construction"/>
    <s v="Daniel Moura"/>
    <s v="Arrow Construction - DDM - Media - Managed Media (AOR) - 01/2026"/>
    <s v="Flex/Renewal"/>
    <s v="Closed Won"/>
    <n v="247500"/>
    <s v="BRL"/>
    <n v="247500"/>
    <s v="BRL"/>
    <s v="DDM - Media - Managed Media (AOR)"/>
    <d v="2026-01-31T00:00:00"/>
    <d v="2025-10-16T00:00:00"/>
    <s v="Inbound - Current Client (DEPRECATED)"/>
    <s v="São Carlos, BR"/>
    <s v="71"/>
    <s v="3"/>
    <s v="Customer Success"/>
    <x v="1"/>
    <x v="4"/>
  </r>
  <r>
    <s v="OPP-10027"/>
    <s v="ACC-1109"/>
    <s v="Bluefin Logistics"/>
    <s v="Lucas Almeida"/>
    <s v="Bluefin Logistics - DDM - Media - Managed Media (AOR) - 06/2026"/>
    <s v="Retainer"/>
    <s v="Pitched"/>
    <n v="36000"/>
    <s v="BRL"/>
    <n v="12000"/>
    <s v="BRL"/>
    <s v="DDM - Media - Managed Media (AOR)"/>
    <d v="2026-06-29T00:00:00"/>
    <d v="2025-10-20T00:00:00"/>
    <s v="Inbound - Website - Media.Monks (DEPRECATED)"/>
    <s v="São Carlos, BR"/>
    <s v="76"/>
    <s v="12"/>
    <s v="Inbound"/>
    <x v="1"/>
    <x v="1"/>
  </r>
  <r>
    <s v="OPP-10027"/>
    <s v="ACC-1109"/>
    <s v="Bluefin Logistics"/>
    <s v="Lucas Almeida"/>
    <s v="Bluefin Logistics - Content - Social - AOR - 06/2026"/>
    <s v="Retainer"/>
    <s v="Pitched"/>
    <n v="36000"/>
    <s v="BRL"/>
    <n v="12000"/>
    <s v="BRL"/>
    <s v="Content - Social - AOR"/>
    <d v="2026-06-29T00:00:00"/>
    <d v="2025-10-20T00:00:00"/>
    <s v="Inbound - Website - Media.Monks (DEPRECATED)"/>
    <s v="São Carlos, BR"/>
    <s v="76"/>
    <s v="12"/>
    <s v="Inbound"/>
    <x v="1"/>
    <x v="1"/>
  </r>
  <r>
    <s v="OPP-10027"/>
    <s v="ACC-1109"/>
    <s v="Bluefin Logistics"/>
    <s v="Lucas Almeida"/>
    <s v="Bluefin Logistics - DDM - Media - Creative - 06/2026"/>
    <s v="Retainer"/>
    <s v="Pitched"/>
    <n v="36000"/>
    <s v="BRL"/>
    <n v="12000"/>
    <s v="BRL"/>
    <s v="DDM - Media - Creative"/>
    <d v="2026-06-29T00:00:00"/>
    <d v="2025-10-20T00:00:00"/>
    <s v="Inbound - Website - Media.Monks (DEPRECATED)"/>
    <s v="São Carlos, BR"/>
    <s v="76"/>
    <s v="12"/>
    <s v="Inbound"/>
    <x v="1"/>
    <x v="1"/>
  </r>
  <r>
    <s v="OPP-10058"/>
    <s v="ACC-1095"/>
    <s v="Nimbus Media"/>
    <s v="Yasmin Nogueira"/>
    <s v="Nimbus Media - Content - Social - AOR - 05/2026"/>
    <s v="Project - Competitive"/>
    <s v="Negotiation"/>
    <n v="2627267.83"/>
    <s v="BRL"/>
    <n v="813135.72"/>
    <s v="BRL"/>
    <s v="Content - Social - AOR"/>
    <d v="2026-11-05T00:00:00"/>
    <d v="2025-01-12T00:00:00"/>
    <s v="Referral - Personal"/>
    <s v="Votorantim, BR"/>
    <s v="54"/>
    <s v="12"/>
    <s v="Referral"/>
    <x v="0"/>
    <x v="9"/>
  </r>
  <r>
    <s v="OPP-10058"/>
    <s v="ACC-1095"/>
    <s v="Nimbus Media"/>
    <s v="Yasmin Nogueira"/>
    <s v="Nimbus Media - DDM - Commerce - Content - 05/2026"/>
    <s v="Project - Competitive"/>
    <s v="Negotiation"/>
    <n v="2627267.83"/>
    <s v="BRL"/>
    <n v="239159.76"/>
    <s v="BRL"/>
    <s v="DDM - Commerce - Content"/>
    <d v="2026-11-05T00:00:00"/>
    <d v="2025-01-12T00:00:00"/>
    <s v="Referral - Personal"/>
    <s v="Votorantim, BR"/>
    <s v="54"/>
    <s v="12"/>
    <s v="Referral"/>
    <x v="0"/>
    <x v="9"/>
  </r>
  <r>
    <s v="OPP-10058"/>
    <s v="ACC-1095"/>
    <s v="Nimbus Media"/>
    <s v="Yasmin Nogueira"/>
    <s v="Nimbus Media - DDM - Media - Creative - 05/2026"/>
    <s v="Project - Competitive"/>
    <s v="Negotiation"/>
    <n v="2627267.83"/>
    <s v="BRL"/>
    <n v="290635.8"/>
    <s v="BRL"/>
    <s v="DDM - Media - Creative"/>
    <d v="2026-11-05T00:00:00"/>
    <d v="2025-01-12T00:00:00"/>
    <s v="Referral - Personal"/>
    <s v="Votorantim, BR"/>
    <s v="54"/>
    <s v="12"/>
    <s v="Referral"/>
    <x v="0"/>
    <x v="9"/>
  </r>
  <r>
    <s v="OPP-10058"/>
    <s v="ACC-1095"/>
    <s v="Nimbus Media"/>
    <s v="Yasmin Nogueira"/>
    <s v="Nimbus Media - DDM - Media - Managed Media (AOR) - 05/2026"/>
    <s v="Project - Competitive"/>
    <s v="Negotiation"/>
    <n v="2627267.83"/>
    <s v="BRL"/>
    <n v="1263216.3600000001"/>
    <s v="BRL"/>
    <s v="DDM - Media - Managed Media (AOR)"/>
    <d v="2026-11-05T00:00:00"/>
    <d v="2025-01-12T00:00:00"/>
    <s v="Referral - Personal"/>
    <s v="Votorantim, BR"/>
    <s v="54"/>
    <s v="12"/>
    <s v="Referral"/>
    <x v="0"/>
    <x v="9"/>
  </r>
  <r>
    <s v="OPP-10058"/>
    <s v="ACC-1095"/>
    <s v="Nimbus Media"/>
    <s v="Yasmin Nogueira"/>
    <s v="Nimbus Media - DDM - Data - Services &amp; Tech - Services (Analytics &amp; Support) - 05/2026"/>
    <s v="Project - Competitive"/>
    <s v="Negotiation"/>
    <n v="2627267.83"/>
    <s v="BRL"/>
    <n v="21120.19"/>
    <s v="BRL"/>
    <s v="DDM - Data - Services &amp; Tech - Services (Analytics &amp; Support)"/>
    <d v="2026-11-05T00:00:00"/>
    <d v="2025-01-12T00:00:00"/>
    <s v="Referral - Personal"/>
    <s v="Votorantim, BR"/>
    <s v="54"/>
    <s v="12"/>
    <s v="Referral"/>
    <x v="0"/>
    <x v="9"/>
  </r>
  <r>
    <s v="OPP-10044"/>
    <s v="ACC-1063"/>
    <s v="Saffron Fashion"/>
    <s v="Ana Silva"/>
    <s v="Saffron Fashion - DDM - Data - Services &amp; Tech - Services (Analytics &amp; Support) - 01/2026"/>
    <s v="Change Order/Upsell"/>
    <s v="Closed Won"/>
    <n v="2518147.83"/>
    <s v="BRL"/>
    <n v="466000"/>
    <s v="BRL"/>
    <s v="DDM - Data - Services &amp; Tech - Services (Analytics &amp; Support)"/>
    <d v="2026-12-01T00:00:00"/>
    <d v="2025-11-14T00:00:00"/>
    <s v="Inbound - Current Client (DEPRECATED)"/>
    <s v="São Carlos, BR"/>
    <s v="92"/>
    <s v="12"/>
    <s v="Customer Success"/>
    <x v="1"/>
    <x v="6"/>
  </r>
  <r>
    <s v="OPP-10044"/>
    <s v="ACC-1063"/>
    <s v="Saffron Fashion"/>
    <s v="Ana Silva"/>
    <s v="Saffron Fashion - DDM - Media - Managed Media (AOR) - 01/2026"/>
    <s v="Change Order/Upsell"/>
    <s v="Closed Won"/>
    <n v="2518147.83"/>
    <s v="BRL"/>
    <n v="1321676.1499999999"/>
    <s v="BRL"/>
    <s v="DDM - Media - Managed Media (AOR)"/>
    <d v="2026-12-01T00:00:00"/>
    <d v="2025-11-14T00:00:00"/>
    <s v="Inbound - Current Client (DEPRECATED)"/>
    <s v="São Carlos, BR"/>
    <s v="92"/>
    <s v="12"/>
    <s v="Customer Success"/>
    <x v="1"/>
    <x v="6"/>
  </r>
  <r>
    <s v="OPP-10044"/>
    <s v="ACC-1063"/>
    <s v="Saffron Fashion"/>
    <s v="Ana Silva"/>
    <s v="Saffron Fashion - DDM - Media - Creative - 01/2026"/>
    <s v="Change Order/Upsell"/>
    <s v="Closed Won"/>
    <n v="2518147.83"/>
    <s v="BRL"/>
    <n v="550471.68000000005"/>
    <s v="BRL"/>
    <s v="DDM - Media - Creative"/>
    <d v="2026-12-01T00:00:00"/>
    <d v="2025-11-14T00:00:00"/>
    <s v="Inbound - Current Client (DEPRECATED)"/>
    <s v="São Carlos, BR"/>
    <s v="92"/>
    <s v="12"/>
    <s v="Customer Success"/>
    <x v="1"/>
    <x v="6"/>
  </r>
  <r>
    <s v="OPP-10044"/>
    <s v="ACC-1063"/>
    <s v="Saffron Fashion"/>
    <s v="Ana Silva"/>
    <s v="Saffron Fashion - DDM - Data - Services &amp; Tech - Services (Analytics &amp; Support) - 01/2026"/>
    <s v="Change Order/Upsell"/>
    <s v="Closed Won"/>
    <n v="2518147.83"/>
    <s v="BRL"/>
    <n v="180000"/>
    <s v="BRL"/>
    <s v="DDM - Data - Services &amp; Tech - Services (Analytics &amp; Support)"/>
    <d v="2026-12-01T00:00:00"/>
    <d v="2025-11-14T00:00:00"/>
    <s v="Inbound - Current Client (DEPRECATED)"/>
    <s v="São Carlos, BR"/>
    <s v="92"/>
    <s v="12"/>
    <s v="Customer Success"/>
    <x v="1"/>
    <x v="6"/>
  </r>
  <r>
    <s v="OPP-10154"/>
    <s v="ACC-1119"/>
    <s v="Company 118"/>
    <s v="Wanda Borges"/>
    <s v="Company 118 - Content - Platform - Performance, SEO, CRM &amp; Loyalty - 05/2026"/>
    <s v="Project - Competitive"/>
    <s v="Pitched"/>
    <n v="2344909.7999999998"/>
    <s v="BRL"/>
    <n v="853158.72"/>
    <s v="BRL"/>
    <s v="Content - Platform - Performance, SEO, CRM &amp; Loyalty"/>
    <d v="2026-05-29T00:00:00"/>
    <d v="2026-02-27T00:00:00"/>
    <s v="Inbound - Website - Media.Monks (DEPRECATED)"/>
    <s v="Votorantim, BR"/>
    <s v="15"/>
    <s v="12"/>
    <s v="Inbound"/>
    <x v="0"/>
    <x v="0"/>
  </r>
  <r>
    <s v="OPP-10154"/>
    <s v="ACC-1119"/>
    <s v="Company 118"/>
    <s v="Wanda Borges"/>
    <s v="Company 118 - DDM - Media - Managed Media (AOR) - 05/2026"/>
    <s v="Project - Competitive"/>
    <s v="Pitched"/>
    <n v="2344909.7999999998"/>
    <s v="BRL"/>
    <n v="321776.88"/>
    <s v="BRL"/>
    <s v="DDM - Media - Managed Media (AOR)"/>
    <d v="2026-05-29T00:00:00"/>
    <d v="2026-02-27T00:00:00"/>
    <s v="Inbound - Website - Media.Monks (DEPRECATED)"/>
    <s v="Votorantim, BR"/>
    <s v="15"/>
    <s v="12"/>
    <s v="Inbound"/>
    <x v="0"/>
    <x v="0"/>
  </r>
  <r>
    <s v="OPP-10154"/>
    <s v="ACC-1119"/>
    <s v="Company 118"/>
    <s v="Wanda Borges"/>
    <s v="Company 118 - DDM - Data - Services &amp; Tech - Services (Analytics &amp; Support) - 05/2026"/>
    <s v="Project - Competitive"/>
    <s v="Pitched"/>
    <n v="2344909.7999999998"/>
    <s v="BRL"/>
    <n v="189158.04"/>
    <s v="BRL"/>
    <s v="DDM - Data - Services &amp; Tech - Services (Analytics &amp; Support)"/>
    <d v="2026-05-29T00:00:00"/>
    <d v="2026-02-27T00:00:00"/>
    <s v="Inbound - Website - Media.Monks (DEPRECATED)"/>
    <s v="Votorantim, BR"/>
    <s v="15"/>
    <s v="12"/>
    <s v="Inbound"/>
    <x v="0"/>
    <x v="0"/>
  </r>
  <r>
    <s v="OPP-10154"/>
    <s v="ACC-1119"/>
    <s v="Company 118"/>
    <s v="Wanda Borges"/>
    <s v="Company 118 - DDM - Media - Creative - 05/2026"/>
    <s v="Project - Competitive"/>
    <s v="Pitched"/>
    <n v="2344909.7999999998"/>
    <s v="BRL"/>
    <n v="768956.4"/>
    <s v="BRL"/>
    <s v="DDM - Media - Creative"/>
    <d v="2026-05-29T00:00:00"/>
    <d v="2026-02-27T00:00:00"/>
    <s v="Inbound - Website - Media.Monks (DEPRECATED)"/>
    <s v="Votorantim, BR"/>
    <s v="15"/>
    <s v="12"/>
    <s v="Inbound"/>
    <x v="0"/>
    <x v="0"/>
  </r>
  <r>
    <s v="OPP-10154"/>
    <s v="ACC-1119"/>
    <s v="Company 118"/>
    <s v="Wanda Borges"/>
    <s v="Company 118 - Content - Platform - Performance, SEO, CRM &amp; Loyalty - 05/2026"/>
    <s v="Project - Competitive"/>
    <s v="Pitched"/>
    <n v="2344909.7999999998"/>
    <s v="BRL"/>
    <n v="211859.76"/>
    <s v="BRL"/>
    <s v="Content - Platform - Performance, SEO, CRM &amp; Loyalty"/>
    <d v="2026-05-29T00:00:00"/>
    <d v="2026-02-27T00:00:00"/>
    <s v="Inbound - Website - Media.Monks (DEPRECATED)"/>
    <s v="Votorantim, BR"/>
    <s v="15"/>
    <s v="12"/>
    <s v="Inbound"/>
    <x v="0"/>
    <x v="0"/>
  </r>
  <r>
    <s v="OPP-10186"/>
    <s v="ACC-1063"/>
    <s v="Saffron Fashion"/>
    <s v="Ana Silva"/>
    <s v="Saffron Fashion - Content - Platform - Performance, SEO, CRM &amp; Loyalty - 05/2026"/>
    <s v="Change Order/Upsell"/>
    <s v="Negotiation"/>
    <n v="2316291.86"/>
    <s v="BRL"/>
    <n v="2316291.86"/>
    <s v="BRL"/>
    <s v="Content - Platform - Performance, SEO, CRM &amp; Loyalty"/>
    <d v="2026-05-31T00:00:00"/>
    <d v="2026-03-19T00:00:00"/>
    <s v="Inbound - Current Client (DEPRECATED)"/>
    <s v="São Carlos, BR"/>
    <s v="5"/>
    <s v="12"/>
    <s v="Customer Success"/>
    <x v="1"/>
    <x v="0"/>
  </r>
  <r>
    <s v="OPP-10243"/>
    <s v="ACC-1019"/>
    <s v="Thistle Tech"/>
    <s v="Amanda Rios"/>
    <s v="Thistle Tech - DDM - Data - Services &amp; Tech - Services (Analytics &amp; Support) - 06/2026"/>
    <s v="Change Order/Upsell"/>
    <s v="Qualified"/>
    <n v="2163037.2000000002"/>
    <s v="BRL"/>
    <n v="2163037.2000000002"/>
    <s v="BRL"/>
    <s v="DDM - Data - Services &amp; Tech - Services (Analytics &amp; Support)"/>
    <d v="2026-06-30T00:00:00"/>
    <d v="2026-10-04T00:00:00"/>
    <s v="MH Lead (DEPRECATED)"/>
    <s v="São Carlos, BR"/>
    <s v="4"/>
    <s v="12"/>
    <s v="Unknown"/>
    <x v="1"/>
    <x v="1"/>
  </r>
  <r>
    <s v="OPP-10036"/>
    <s v="ACC-1004"/>
    <s v="Harbor Grocers"/>
    <s v="Carla Mendes"/>
    <s v="Harbor Grocers - DDM - Commerce - Content - 01/2026"/>
    <s v="Flex/Renewal"/>
    <s v="Closed Won"/>
    <n v="1038355.7999999999"/>
    <s v="BRL"/>
    <n v="196152.12"/>
    <s v="BRL"/>
    <s v="DDM - Commerce - Content"/>
    <d v="2026-01-14T00:00:00"/>
    <d v="2025-06-11T00:00:00"/>
    <s v="Inbound - Current Client (DEPRECATED)"/>
    <s v="São Carlos, BR"/>
    <s v="90"/>
    <s v="12"/>
    <s v="Customer Success"/>
    <x v="1"/>
    <x v="4"/>
  </r>
  <r>
    <s v="OPP-10036"/>
    <s v="ACC-1004"/>
    <s v="Harbor Grocers"/>
    <s v="Carla Mendes"/>
    <s v="Harbor Grocers - DDM - Media - Creative - 01/2026"/>
    <s v="Flex/Renewal"/>
    <s v="Closed Won"/>
    <n v="1038355.7999999999"/>
    <s v="BRL"/>
    <n v="241774.07999999999"/>
    <s v="BRL"/>
    <s v="DDM - Media - Creative"/>
    <d v="2026-01-14T00:00:00"/>
    <d v="2025-06-11T00:00:00"/>
    <s v="Inbound - Current Client (DEPRECATED)"/>
    <s v="São Carlos, BR"/>
    <s v="90"/>
    <s v="12"/>
    <s v="Customer Success"/>
    <x v="1"/>
    <x v="4"/>
  </r>
  <r>
    <s v="OPP-10036"/>
    <s v="ACC-1004"/>
    <s v="Harbor Grocers"/>
    <s v="Carla Mendes"/>
    <s v="Harbor Grocers - DDM - Media - Managed Media (AOR) - 01/2026"/>
    <s v="Flex/Renewal"/>
    <s v="Closed Won"/>
    <n v="1038355.7999999999"/>
    <s v="BRL"/>
    <n v="600429.6"/>
    <s v="BRL"/>
    <s v="DDM - Media - Managed Media (AOR)"/>
    <d v="2026-01-14T00:00:00"/>
    <d v="2025-06-11T00:00:00"/>
    <s v="Inbound - Current Client (DEPRECATED)"/>
    <s v="São Carlos, BR"/>
    <s v="90"/>
    <s v="12"/>
    <s v="Customer Success"/>
    <x v="1"/>
    <x v="4"/>
  </r>
  <r>
    <s v="OPP-10037"/>
    <s v="ACC-1012"/>
    <s v="Dill Delivery"/>
    <s v="Carla Mendes"/>
    <s v="Dill Delivery - DDM - Media - Activation - Platforms Reselling - 01/2026"/>
    <s v="Flex/Renewal"/>
    <s v="Closed Won"/>
    <n v="667166.55000000005"/>
    <s v="BRL"/>
    <n v="667166.55000000005"/>
    <s v="BRL"/>
    <s v="DDM - Media - Activation - Platforms Reselling"/>
    <d v="2026-01-29T00:00:00"/>
    <d v="2025-10-11T00:00:00"/>
    <s v="Inbound - Current Client (DEPRECATED)"/>
    <s v="São Paulo, BR"/>
    <s v="75"/>
    <s v="12"/>
    <s v="Customer Success"/>
    <x v="1"/>
    <x v="4"/>
  </r>
  <r>
    <s v="OPP-10159"/>
    <s v="ACC-1111"/>
    <s v="Walnut Manufacturing"/>
    <s v="Wanda Borges"/>
    <s v="Walnut Manufacturing - DDM - Media - Managed Media (AOR) - 05/2026"/>
    <s v="Project - Competitive"/>
    <s v="Pitched"/>
    <n v="2133050.04"/>
    <s v="BRL"/>
    <n v="321776.88"/>
    <s v="BRL"/>
    <s v="DDM - Media - Managed Media (AOR)"/>
    <d v="2026-05-29T00:00:00"/>
    <d v="2026-03-03T00:00:00"/>
    <s v="Inbound - Website - Media.Monks (DEPRECATED)"/>
    <s v="Votorantim, BR"/>
    <s v="15"/>
    <s v="12"/>
    <s v="Inbound"/>
    <x v="0"/>
    <x v="0"/>
  </r>
  <r>
    <s v="OPP-10159"/>
    <s v="ACC-1111"/>
    <s v="Walnut Manufacturing"/>
    <s v="Wanda Borges"/>
    <s v="Walnut Manufacturing - DDM - Data - Services &amp; Tech - Services (Analytics &amp; Support) - 05/2026"/>
    <s v="Project - Competitive"/>
    <s v="Pitched"/>
    <n v="2133050.04"/>
    <s v="BRL"/>
    <n v="189158.04"/>
    <s v="BRL"/>
    <s v="DDM - Data - Services &amp; Tech - Services (Analytics &amp; Support)"/>
    <d v="2026-05-29T00:00:00"/>
    <d v="2026-03-03T00:00:00"/>
    <s v="Inbound - Website - Media.Monks (DEPRECATED)"/>
    <s v="Votorantim, BR"/>
    <s v="15"/>
    <s v="12"/>
    <s v="Inbound"/>
    <x v="0"/>
    <x v="0"/>
  </r>
  <r>
    <s v="OPP-10159"/>
    <s v="ACC-1111"/>
    <s v="Walnut Manufacturing"/>
    <s v="Wanda Borges"/>
    <s v="Walnut Manufacturing - Content - Platform - Performance, SEO, CRM &amp; Loyalty - 05/2026"/>
    <s v="Project - Competitive"/>
    <s v="Pitched"/>
    <n v="2133050.04"/>
    <s v="BRL"/>
    <n v="853158.72"/>
    <s v="BRL"/>
    <s v="Content - Platform - Performance, SEO, CRM &amp; Loyalty"/>
    <d v="2026-05-29T00:00:00"/>
    <d v="2026-03-03T00:00:00"/>
    <s v="Inbound - Website - Media.Monks (DEPRECATED)"/>
    <s v="Votorantim, BR"/>
    <s v="15"/>
    <s v="12"/>
    <s v="Inbound"/>
    <x v="0"/>
    <x v="0"/>
  </r>
  <r>
    <s v="OPP-10040"/>
    <s v="ACC-1059"/>
    <s v="Basalt Mining"/>
    <s v="Amanda Rios"/>
    <s v="Basalt Mining - DDM - Data - Services &amp; Tech - Services (Analytics &amp; Support) - 01/2026"/>
    <s v="Flex/Renewal"/>
    <s v="Closed Won"/>
    <n v="253579.55"/>
    <s v="BRL"/>
    <n v="152442.06"/>
    <s v="BRL"/>
    <s v="DDM - Data - Services &amp; Tech - Services (Analytics &amp; Support)"/>
    <d v="2026-01-31T00:00:00"/>
    <d v="2025-11-14T00:00:00"/>
    <s v="Inbound - Current Client (DEPRECATED)"/>
    <s v="São Carlos, BR"/>
    <s v="69"/>
    <s v="1"/>
    <s v="Customer Success"/>
    <x v="1"/>
    <x v="4"/>
  </r>
  <r>
    <s v="OPP-10040"/>
    <s v="ACC-1059"/>
    <s v="Basalt Mining"/>
    <s v="Amanda Rios"/>
    <s v="Basalt Mining - DDM - Media - Managed Media (AOR) - 01/2026"/>
    <s v="Flex/Renewal"/>
    <s v="Closed Won"/>
    <n v="253579.55"/>
    <s v="BRL"/>
    <n v="101137.49"/>
    <s v="BRL"/>
    <s v="DDM - Media - Managed Media (AOR)"/>
    <d v="2026-01-31T00:00:00"/>
    <d v="2025-11-14T00:00:00"/>
    <s v="Inbound - Current Client (DEPRECATED)"/>
    <s v="São Carlos, BR"/>
    <s v="69"/>
    <s v="1"/>
    <s v="Customer Success"/>
    <x v="1"/>
    <x v="4"/>
  </r>
  <r>
    <s v="OPP-10159"/>
    <s v="ACC-1111"/>
    <s v="Walnut Manufacturing"/>
    <s v="Wanda Borges"/>
    <s v="Walnut Manufacturing - Content - Social - AOR - 05/2026"/>
    <s v="Project - Competitive"/>
    <s v="Pitched"/>
    <n v="2133050.04"/>
    <s v="BRL"/>
    <n v="768956.4"/>
    <s v="BRL"/>
    <s v="Content - Social - AOR"/>
    <d v="2026-05-29T00:00:00"/>
    <d v="2026-03-03T00:00:00"/>
    <s v="Inbound - Website - Media.Monks (DEPRECATED)"/>
    <s v="Votorantim, BR"/>
    <s v="15"/>
    <s v="12"/>
    <s v="Inbound"/>
    <x v="0"/>
    <x v="0"/>
  </r>
  <r>
    <s v="OPP-10042"/>
    <s v="ACC-1072"/>
    <s v="Ginger Realty"/>
    <s v="Amanda Rios"/>
    <s v="Ginger Realty - DDM - Media - Managed Media (AOR) - 01/2026"/>
    <s v="Flex/Renewal"/>
    <s v="Closed Won"/>
    <n v="429774"/>
    <s v="BRL"/>
    <n v="429774"/>
    <s v="BRL"/>
    <s v="DDM - Media - Managed Media (AOR)"/>
    <d v="2026-01-15T00:00:00"/>
    <d v="2025-11-14T00:00:00"/>
    <s v="Inbound - Current Client (DEPRECATED)"/>
    <s v="Votorantim, BR"/>
    <s v="89"/>
    <s v="6"/>
    <s v="Customer Success"/>
    <x v="1"/>
    <x v="4"/>
  </r>
  <r>
    <s v="OPP-10209"/>
    <s v="ACC-1082"/>
    <s v="Thyme SaaS"/>
    <s v="Xavier Correia"/>
    <s v="Thyme SaaS - DDM - Media - Activation - Platforms Reselling - 04/2026"/>
    <s v="Project - Competitive"/>
    <s v="Pitched"/>
    <n v="1887511.68"/>
    <s v="BRL"/>
    <n v="1887511.68"/>
    <s v="BRL"/>
    <s v="DDM - Media - Activation - Platforms Reselling"/>
    <d v="2026-04-29T00:00:00"/>
    <d v="2026-03-30T00:00:00"/>
    <s v="MH Lead (DEPRECATED)"/>
    <s v="São Carlos, BR"/>
    <s v="8"/>
    <s v="12"/>
    <s v="Unknown"/>
    <x v="0"/>
    <x v="5"/>
  </r>
  <r>
    <s v="OPP-10071"/>
    <s v="ACC-1050"/>
    <s v="Dune Ecommerce"/>
    <s v="Queila Ribeiro"/>
    <s v="Dune Ecommerce - DDM - Data - Services &amp; Tech - Services (Analytics &amp; Support) - 03/2026"/>
    <s v="Change Order/Upsell"/>
    <s v="Closed Won"/>
    <n v="1818447"/>
    <s v="BRL"/>
    <n v="76079.89"/>
    <s v="BRL"/>
    <s v="DDM - Data - Services &amp; Tech - Services (Analytics &amp; Support)"/>
    <d v="2026-03-24T00:00:00"/>
    <d v="2025-12-15T00:00:00"/>
    <s v="Inbound - Current Client (DEPRECATED)"/>
    <s v="São Carlos, BR"/>
    <s v="21"/>
    <s v="8"/>
    <s v="Customer Success"/>
    <x v="1"/>
    <x v="2"/>
  </r>
  <r>
    <s v="OPP-10071"/>
    <s v="ACC-1050"/>
    <s v="Dune Ecommerce"/>
    <s v="Queila Ribeiro"/>
    <s v="Dune Ecommerce - Content - Platform - Performance, SEO, CRM &amp; Loyalty - 03/2026"/>
    <s v="Change Order/Upsell"/>
    <s v="Closed Won"/>
    <n v="1818447"/>
    <s v="BRL"/>
    <n v="270000"/>
    <s v="BRL"/>
    <s v="Content - Platform - Performance, SEO, CRM &amp; Loyalty"/>
    <d v="2026-03-24T00:00:00"/>
    <d v="2025-12-15T00:00:00"/>
    <s v="Inbound - Current Client (DEPRECATED)"/>
    <s v="São Carlos, BR"/>
    <s v="21"/>
    <s v="8"/>
    <s v="Customer Success"/>
    <x v="1"/>
    <x v="2"/>
  </r>
  <r>
    <s v="OPP-10071"/>
    <s v="ACC-1050"/>
    <s v="Dune Ecommerce"/>
    <s v="Queila Ribeiro"/>
    <s v="Dune Ecommerce - Content - Platform - Website Creation &amp; Production - 03/2026"/>
    <s v="Change Order/Upsell"/>
    <s v="Closed Won"/>
    <n v="1818447"/>
    <s v="BRL"/>
    <n v="1472367.11"/>
    <s v="BRL"/>
    <s v="Content - Platform - Website Creation &amp; Production"/>
    <d v="2026-03-24T00:00:00"/>
    <d v="2025-12-15T00:00:00"/>
    <s v="Inbound - Current Client (DEPRECATED)"/>
    <s v="São Carlos, BR"/>
    <s v="21"/>
    <s v="8"/>
    <s v="Customer Success"/>
    <x v="1"/>
    <x v="2"/>
  </r>
  <r>
    <s v="OPP-10043"/>
    <s v="ACC-1029"/>
    <s v="Zephyr Telecom"/>
    <s v="Ana Silva"/>
    <s v="Zephyr Telecom - DDM - Media - Managed Media (AOR) - 03/2026"/>
    <s v="Flex/Renewal"/>
    <s v="Closed Won"/>
    <n v="4260383.32"/>
    <s v="BRL"/>
    <n v="2863609.66"/>
    <s v="BRL"/>
    <s v="DDM - Media - Managed Media (AOR)"/>
    <d v="2026-09-03T00:00:00"/>
    <d v="2025-11-14T00:00:00"/>
    <s v="Inbound - Current Client (DEPRECATED)"/>
    <s v="São Carlos, BR"/>
    <s v="36"/>
    <s v="12"/>
    <s v="Customer Success"/>
    <x v="1"/>
    <x v="7"/>
  </r>
  <r>
    <s v="OPP-10043"/>
    <s v="ACC-1029"/>
    <s v="Zephyr Telecom"/>
    <s v="Ana Silva"/>
    <s v="Zephyr Telecom - DDM - Data - Services &amp; Tech - Services (Analytics &amp; Support) - 03/2026"/>
    <s v="Flex/Renewal"/>
    <s v="Closed Won"/>
    <n v="4260383.32"/>
    <s v="BRL"/>
    <n v="432000"/>
    <s v="BRL"/>
    <s v="DDM - Data - Services &amp; Tech - Services (Analytics &amp; Support)"/>
    <d v="2026-09-03T00:00:00"/>
    <d v="2025-11-14T00:00:00"/>
    <s v="Inbound - Current Client (DEPRECATED)"/>
    <s v="São Carlos, BR"/>
    <s v="36"/>
    <s v="12"/>
    <s v="Customer Success"/>
    <x v="1"/>
    <x v="7"/>
  </r>
  <r>
    <s v="OPP-10043"/>
    <s v="ACC-1029"/>
    <s v="Zephyr Telecom"/>
    <s v="Ana Silva"/>
    <s v="Zephyr Telecom - Content - Platform - Performance, SEO, CRM &amp; Loyalty - 03/2026"/>
    <s v="Flex/Renewal"/>
    <s v="Closed Won"/>
    <n v="4260383.32"/>
    <s v="BRL"/>
    <n v="964773.66"/>
    <s v="BRL"/>
    <s v="Content - Platform - Performance, SEO, CRM &amp; Loyalty"/>
    <d v="2026-09-03T00:00:00"/>
    <d v="2025-11-14T00:00:00"/>
    <s v="Inbound - Current Client (DEPRECATED)"/>
    <s v="São Carlos, BR"/>
    <s v="36"/>
    <s v="12"/>
    <s v="Customer Success"/>
    <x v="1"/>
    <x v="7"/>
  </r>
  <r>
    <s v="OPP-10045"/>
    <s v="ACC-1029"/>
    <s v="Zephyr Telecom"/>
    <s v="Ana Silva"/>
    <s v="Zephyr Telecom - DDM - Media - Managed Media (AOR) - 02/2026"/>
    <s v="Flex/Renewal"/>
    <s v="Closed Won"/>
    <n v="3785206.2099999995"/>
    <s v="BRL"/>
    <n v="2191904.46"/>
    <s v="BRL"/>
    <s v="DDM - Media - Managed Media (AOR)"/>
    <d v="2026-02-13T00:00:00"/>
    <d v="2025-11-14T00:00:00"/>
    <s v="Inbound - Current Client (DEPRECATED)"/>
    <s v="São Carlos, BR"/>
    <s v="60"/>
    <s v="12"/>
    <s v="Customer Success"/>
    <x v="1"/>
    <x v="3"/>
  </r>
  <r>
    <s v="OPP-10045"/>
    <s v="ACC-1029"/>
    <s v="Zephyr Telecom"/>
    <s v="Ana Silva"/>
    <s v="Zephyr Telecom - DDM - Data - Services &amp; Tech - Services (Analytics &amp; Support) - 02/2026"/>
    <s v="Flex/Renewal"/>
    <s v="Closed Won"/>
    <n v="3785206.2099999995"/>
    <s v="BRL"/>
    <n v="746108.88"/>
    <s v="BRL"/>
    <s v="DDM - Data - Services &amp; Tech - Services (Analytics &amp; Support)"/>
    <d v="2026-02-13T00:00:00"/>
    <d v="2025-11-14T00:00:00"/>
    <s v="Inbound - Current Client (DEPRECATED)"/>
    <s v="São Carlos, BR"/>
    <s v="60"/>
    <s v="12"/>
    <s v="Customer Success"/>
    <x v="1"/>
    <x v="3"/>
  </r>
  <r>
    <s v="OPP-10045"/>
    <s v="ACC-1029"/>
    <s v="Zephyr Telecom"/>
    <s v="Ana Silva"/>
    <s v="Zephyr Telecom - Content - Social - Project - 02/2026"/>
    <s v="Flex/Renewal"/>
    <s v="Closed Won"/>
    <n v="3785206.2099999995"/>
    <s v="BRL"/>
    <n v="598144.80000000005"/>
    <s v="BRL"/>
    <s v="Content - Social - Project"/>
    <d v="2026-02-13T00:00:00"/>
    <d v="2025-11-14T00:00:00"/>
    <s v="Inbound - Current Client (DEPRECATED)"/>
    <s v="São Carlos, BR"/>
    <s v="60"/>
    <s v="12"/>
    <s v="Customer Success"/>
    <x v="1"/>
    <x v="3"/>
  </r>
  <r>
    <s v="OPP-10045"/>
    <s v="ACC-1029"/>
    <s v="Zephyr Telecom"/>
    <s v="Ana Silva"/>
    <s v="Zephyr Telecom - Content - Platform - Performance, SEO, CRM &amp; Loyalty - 02/2026"/>
    <s v="Flex/Renewal"/>
    <s v="Closed Won"/>
    <n v="3785206.2099999995"/>
    <s v="BRL"/>
    <n v="249048.07"/>
    <s v="BRL"/>
    <s v="Content - Platform - Performance, SEO, CRM &amp; Loyalty"/>
    <d v="2026-02-13T00:00:00"/>
    <d v="2025-11-14T00:00:00"/>
    <s v="Inbound - Current Client (DEPRECATED)"/>
    <s v="São Carlos, BR"/>
    <s v="60"/>
    <s v="12"/>
    <s v="Customer Success"/>
    <x v="1"/>
    <x v="3"/>
  </r>
  <r>
    <s v="OPP-10049"/>
    <s v="ACC-1107"/>
    <s v="Cobalt SaaS"/>
    <s v="Xavier Correia"/>
    <s v="Cobalt SaaS - DDM - Media - Managed Media (AOR) - 01/2026"/>
    <s v="Project - Not Competitive"/>
    <s v="Closed Won"/>
    <n v="1680000"/>
    <s v="BRL"/>
    <n v="1680000"/>
    <s v="BRL"/>
    <s v="DDM - Media - Managed Media (AOR)"/>
    <d v="2026-01-14T00:00:00"/>
    <d v="2025-11-26T00:00:00"/>
    <s v="Referral - Personal"/>
    <s v="Votorantim, BR"/>
    <s v="90"/>
    <s v="12"/>
    <s v="Referral"/>
    <x v="0"/>
    <x v="4"/>
  </r>
  <r>
    <s v="OPP-10029"/>
    <s v="ACC-1022"/>
    <s v="Ember HoSão Paulo, BRitality"/>
    <s v="Sofia Guimaraes"/>
    <s v="Ember HoSão Paulo, BRitality - DDM - Data - Services &amp; Tech - Services (Analytics &amp; Support) - 04/2026"/>
    <s v="Change Order/Upsell"/>
    <s v="Closed Won"/>
    <n v="1653085.7999999998"/>
    <s v="BRL"/>
    <n v="359170.32"/>
    <s v="BRL"/>
    <s v="DDM - Data - Services &amp; Tech - Services (Analytics &amp; Support)"/>
    <d v="2026-04-13T00:00:00"/>
    <d v="2025-10-24T00:00:00"/>
    <s v="Inbound - Current Client (DEPRECATED)"/>
    <s v="São Carlos, BR"/>
    <s v="1"/>
    <s v="10"/>
    <s v="Customer Success"/>
    <x v="1"/>
    <x v="5"/>
  </r>
  <r>
    <s v="OPP-10029"/>
    <s v="ACC-1022"/>
    <s v="Ember HoSão Paulo, BRitality"/>
    <s v="Sofia Guimaraes"/>
    <s v="Ember HoSão Paulo, BRitality - Content - Platform - Performance, SEO, CRM &amp; Loyalty - 04/2026"/>
    <s v="Change Order/Upsell"/>
    <s v="Closed Won"/>
    <n v="1653085.7999999998"/>
    <s v="BRL"/>
    <n v="732711.84"/>
    <s v="BRL"/>
    <s v="Content - Platform - Performance, SEO, CRM &amp; Loyalty"/>
    <d v="2026-04-13T00:00:00"/>
    <d v="2025-10-24T00:00:00"/>
    <s v="Inbound - Current Client (DEPRECATED)"/>
    <s v="São Carlos, BR"/>
    <s v="1"/>
    <s v="10"/>
    <s v="Customer Success"/>
    <x v="1"/>
    <x v="5"/>
  </r>
  <r>
    <s v="OPP-10047"/>
    <s v="ACC-1024"/>
    <s v="Topaz Publishing"/>
    <s v="Carla Mendes"/>
    <s v="Topaz Publishing - DDM - Media - Activation - Platforms Reselling - 01/2026"/>
    <s v="Flex/Renewal"/>
    <s v="Closed Won"/>
    <n v="175660.68"/>
    <s v="BRL"/>
    <n v="175660.68"/>
    <s v="BRL"/>
    <s v="DDM - Media - Activation - Platforms Reselling"/>
    <d v="2026-01-31T00:00:00"/>
    <d v="2025-11-24T00:00:00"/>
    <s v="Inbound - Current Client (DEPRECATED)"/>
    <s v="São Paulo, BR"/>
    <s v="70"/>
    <s v="12"/>
    <s v="Customer Success"/>
    <x v="1"/>
    <x v="4"/>
  </r>
  <r>
    <s v="OPP-10029"/>
    <s v="ACC-1022"/>
    <s v="Ember HoSão Paulo, BRitality"/>
    <s v="Sofia Guimaraes"/>
    <s v="Ember HoSão Paulo, BRitality - Content - Platform - Service &amp; Maintenance - 04/2026"/>
    <s v="Change Order/Upsell"/>
    <s v="Closed Won"/>
    <n v="1653085.7999999998"/>
    <s v="BRL"/>
    <n v="561203.64"/>
    <s v="BRL"/>
    <s v="Content - Platform - Service &amp; Maintenance"/>
    <d v="2026-04-13T00:00:00"/>
    <d v="2025-10-24T00:00:00"/>
    <s v="Inbound - Current Client (DEPRECATED)"/>
    <s v="São Carlos, BR"/>
    <s v="1"/>
    <s v="10"/>
    <s v="Customer Success"/>
    <x v="1"/>
    <x v="5"/>
  </r>
  <r>
    <s v="OPP-10227"/>
    <s v="ACC-1029"/>
    <s v="Zephyr Telecom"/>
    <s v="Ana Silva"/>
    <s v="Zephyr Telecom - Content - Platform - Performance, SEO, CRM &amp; Loyalty - 06/2026"/>
    <s v="Change Order/Upsell"/>
    <s v="Registration"/>
    <n v="1555491.6"/>
    <s v="BRL"/>
    <n v="1555491.6"/>
    <s v="BRL"/>
    <s v="Content - Platform - Performance, SEO, CRM &amp; Loyalty"/>
    <d v="2026-06-30T00:00:00"/>
    <d v="2026-06-04T00:00:00"/>
    <s v="Existing Client - Account/Growth Activity"/>
    <s v="São Carlos, BR"/>
    <s v="1"/>
    <s v="12"/>
    <s v="Customer Success"/>
    <x v="1"/>
    <x v="1"/>
  </r>
  <r>
    <s v="OPP-10192"/>
    <s v="ACC-1034"/>
    <s v="Ume Insurance"/>
    <s v="Xavier Correia"/>
    <s v="Ume Insurance - DDM - Media - Managed Media (AOR) - 05/2026"/>
    <s v="Project - Competitive"/>
    <s v="Pitching"/>
    <n v="1528601.1600000001"/>
    <s v="BRL"/>
    <n v="960665.16"/>
    <s v="BRL"/>
    <s v="DDM - Media - Managed Media (AOR)"/>
    <d v="2026-05-31T00:00:00"/>
    <d v="2026-03-20T00:00:00"/>
    <s v="Inbound - Website - Media.Monks (DEPRECATED)"/>
    <s v="São Carlos, BR"/>
    <s v="4"/>
    <s v="12"/>
    <s v="Inbound"/>
    <x v="0"/>
    <x v="0"/>
  </r>
  <r>
    <s v="OPP-10192"/>
    <s v="ACC-1034"/>
    <s v="Ume Insurance"/>
    <s v="Xavier Correia"/>
    <s v="Ume Insurance - DDM - Data - Services &amp; Tech - Services (Data Science/Data Eng.) - 05/2026"/>
    <s v="Project - Competitive"/>
    <s v="Pitching"/>
    <n v="1528601.1600000001"/>
    <s v="BRL"/>
    <n v="567936"/>
    <s v="BRL"/>
    <s v="DDM - Data - Services &amp; Tech - Services (Data Science/Data Eng.)"/>
    <d v="2026-05-31T00:00:00"/>
    <d v="2026-03-20T00:00:00"/>
    <s v="Inbound - Website - Media.Monks (DEPRECATED)"/>
    <s v="São Carlos, BR"/>
    <s v="4"/>
    <s v="12"/>
    <s v="Inbound"/>
    <x v="0"/>
    <x v="0"/>
  </r>
  <r>
    <s v="OPP-10161"/>
    <s v="ACC-1064"/>
    <s v="Arrow Construction"/>
    <s v="Daniel Moura"/>
    <s v="Arrow Construction - DDM - Media - Managed Media (AOR) - 04/2026"/>
    <s v="Change Order/Upsell"/>
    <s v="Registration"/>
    <n v="1438053.84"/>
    <s v="BRL"/>
    <n v="1438053.84"/>
    <s v="BRL"/>
    <s v="DDM - Media - Managed Media (AOR)"/>
    <d v="2026-04-30T00:00:00"/>
    <d v="2026-04-03T00:00:00"/>
    <s v="Inbound - Current Client (DEPRECATED)"/>
    <s v="Votorantim, BR"/>
    <s v="41"/>
    <s v="12"/>
    <s v="Customer Success"/>
    <x v="1"/>
    <x v="5"/>
  </r>
  <r>
    <s v="OPP-10134"/>
    <s v="ACC-1064"/>
    <s v="Arrow Construction"/>
    <s v="Daniel Moura"/>
    <s v="Arrow Construction - DDM - Media - Managed Media (AOR) - 05/2026"/>
    <s v="Change Order/Upsell"/>
    <s v="Pitched"/>
    <n v="1429074.08"/>
    <s v="BRL"/>
    <n v="117901.4"/>
    <s v="BRL"/>
    <s v="DDM - Media - Managed Media (AOR)"/>
    <d v="2026-05-29T00:00:00"/>
    <d v="2026-02-13T00:00:00"/>
    <s v="Inbound - Current Client (DEPRECATED)"/>
    <s v="São Carlos, BR"/>
    <s v="33"/>
    <s v="12"/>
    <s v="Customer Success"/>
    <x v="1"/>
    <x v="0"/>
  </r>
  <r>
    <s v="OPP-10134"/>
    <s v="ACC-1064"/>
    <s v="Arrow Construction"/>
    <s v="Daniel Moura"/>
    <s v="Arrow Construction - DDM - Data - Services &amp; Tech - Services (Analytics &amp; Support) - 05/2026"/>
    <s v="Change Order/Upsell"/>
    <s v="Pitched"/>
    <n v="1429074.08"/>
    <s v="BRL"/>
    <n v="451225.8"/>
    <s v="BRL"/>
    <s v="DDM - Data - Services &amp; Tech - Services (Analytics &amp; Support)"/>
    <d v="2026-05-29T00:00:00"/>
    <d v="2026-02-13T00:00:00"/>
    <s v="Inbound - Current Client (DEPRECATED)"/>
    <s v="São Carlos, BR"/>
    <s v="33"/>
    <s v="12"/>
    <s v="Customer Success"/>
    <x v="1"/>
    <x v="0"/>
  </r>
  <r>
    <s v="OPP-10134"/>
    <s v="ACC-1064"/>
    <s v="Arrow Construction"/>
    <s v="Daniel Moura"/>
    <s v="Arrow Construction - DDM - CRM - Other - 05/2026"/>
    <s v="Change Order/Upsell"/>
    <s v="Pitched"/>
    <n v="1429074.08"/>
    <s v="BRL"/>
    <n v="349188.48"/>
    <s v="BRL"/>
    <s v="DDM - CRM - Other"/>
    <d v="2026-05-29T00:00:00"/>
    <d v="2026-02-13T00:00:00"/>
    <s v="Inbound - Current Client (DEPRECATED)"/>
    <s v="São Carlos, BR"/>
    <s v="33"/>
    <s v="12"/>
    <s v="Customer Success"/>
    <x v="1"/>
    <x v="0"/>
  </r>
  <r>
    <s v="OPP-10134"/>
    <s v="ACC-1064"/>
    <s v="Arrow Construction"/>
    <s v="Daniel Moura"/>
    <s v="Arrow Construction - Content - Platform - Performance, SEO, CRM &amp; Loyalty - 05/2026"/>
    <s v="Change Order/Upsell"/>
    <s v="Pitched"/>
    <n v="1429074.08"/>
    <s v="BRL"/>
    <n v="510758.40000000002"/>
    <s v="BRL"/>
    <s v="Content - Platform - Performance, SEO, CRM &amp; Loyalty"/>
    <d v="2026-05-29T00:00:00"/>
    <d v="2026-02-13T00:00:00"/>
    <s v="Inbound - Current Client (DEPRECATED)"/>
    <s v="São Carlos, BR"/>
    <s v="33"/>
    <s v="12"/>
    <s v="Customer Success"/>
    <x v="1"/>
    <x v="0"/>
  </r>
  <r>
    <s v="OPP-10097"/>
    <s v="ACC-1014"/>
    <s v="Fern Agriculture"/>
    <s v="Lucas Almeida"/>
    <s v="Fern Agriculture - DDM - Media - Managed Media (AOR) - 04/2026"/>
    <s v="Project - Not Competitive"/>
    <s v="Registration"/>
    <n v="1410000"/>
    <s v="BRL"/>
    <n v="934800"/>
    <s v="BRL"/>
    <s v="DDM - Media - Managed Media (AOR)"/>
    <d v="2026-04-13T00:00:00"/>
    <d v="2026-01-16T00:00:00"/>
    <s v="Inbound - Website - Media.Monks (DEPRECATED)"/>
    <s v="Votorantim, BR"/>
    <s v="21"/>
    <s v="12"/>
    <s v="Inbound"/>
    <x v="0"/>
    <x v="5"/>
  </r>
  <r>
    <s v="OPP-10051"/>
    <s v="ACC-1044"/>
    <s v="Yerba Studios"/>
    <s v="Carla Mendes"/>
    <s v="Yerba Studios - DDM - Media - Creative - 01/2026"/>
    <s v="Flex/Renewal"/>
    <s v="Closed Won"/>
    <n v="760000"/>
    <s v="BRL"/>
    <n v="164250"/>
    <s v="BRL"/>
    <s v="DDM - Media - Creative"/>
    <d v="2026-01-27T00:00:00"/>
    <d v="2025-11-26T00:00:00"/>
    <s v="Inbound - Current Client (DEPRECATED)"/>
    <s v="São Carlos, BR"/>
    <s v="77"/>
    <s v="12"/>
    <s v="Customer Success"/>
    <x v="1"/>
    <x v="4"/>
  </r>
  <r>
    <s v="OPP-10051"/>
    <s v="ACC-1044"/>
    <s v="Yerba Studios"/>
    <s v="Carla Mendes"/>
    <s v="Yerba Studios - DDM - Commerce - Content - 01/2026"/>
    <s v="Flex/Renewal"/>
    <s v="Closed Won"/>
    <n v="760000"/>
    <s v="BRL"/>
    <n v="131750"/>
    <s v="BRL"/>
    <s v="DDM - Commerce - Content"/>
    <d v="2026-01-27T00:00:00"/>
    <d v="2025-11-26T00:00:00"/>
    <s v="Inbound - Current Client (DEPRECATED)"/>
    <s v="São Carlos, BR"/>
    <s v="77"/>
    <s v="12"/>
    <s v="Customer Success"/>
    <x v="1"/>
    <x v="4"/>
  </r>
  <r>
    <s v="OPP-10051"/>
    <s v="ACC-1044"/>
    <s v="Yerba Studios"/>
    <s v="Carla Mendes"/>
    <s v="Yerba Studios - DDM - Media - Managed Media (AOR) - 01/2026"/>
    <s v="Flex/Renewal"/>
    <s v="Closed Won"/>
    <n v="760000"/>
    <s v="BRL"/>
    <n v="400000"/>
    <s v="BRL"/>
    <s v="DDM - Media - Managed Media (AOR)"/>
    <d v="2026-01-27T00:00:00"/>
    <d v="2025-11-26T00:00:00"/>
    <s v="Inbound - Current Client (DEPRECATED)"/>
    <s v="São Carlos, BR"/>
    <s v="77"/>
    <s v="12"/>
    <s v="Customer Success"/>
    <x v="1"/>
    <x v="4"/>
  </r>
  <r>
    <s v="OPP-10051"/>
    <s v="ACC-1044"/>
    <s v="Yerba Studios"/>
    <s v="Carla Mendes"/>
    <s v="Yerba Studios - DDM - Data - Services &amp; Tech - Services (Analytics &amp; Support) - 01/2026"/>
    <s v="Flex/Renewal"/>
    <s v="Closed Won"/>
    <n v="760000"/>
    <s v="BRL"/>
    <n v="64000"/>
    <s v="BRL"/>
    <s v="DDM - Data - Services &amp; Tech - Services (Analytics &amp; Support)"/>
    <d v="2026-01-27T00:00:00"/>
    <d v="2025-11-26T00:00:00"/>
    <s v="Inbound - Current Client (DEPRECATED)"/>
    <s v="São Carlos, BR"/>
    <s v="77"/>
    <s v="12"/>
    <s v="Customer Success"/>
    <x v="1"/>
    <x v="4"/>
  </r>
  <r>
    <s v="OPP-10052"/>
    <s v="ACC-1016"/>
    <s v="Elm Realty"/>
    <s v="Pedro Martins"/>
    <s v="Elm Realty - DDM - Media - Managed Media (AOR) - 03/2026"/>
    <s v="Flex/Renewal"/>
    <s v="Closed Won"/>
    <n v="517703.16"/>
    <s v="BRL"/>
    <n v="420864.6"/>
    <s v="BRL"/>
    <s v="DDM - Media - Managed Media (AOR)"/>
    <d v="2026-03-23T00:00:00"/>
    <d v="2025-11-27T00:00:00"/>
    <s v="MH Lead (DEPRECATED)"/>
    <s v="Votorantim, BR"/>
    <s v="22"/>
    <s v="12"/>
    <s v="Unknown"/>
    <x v="1"/>
    <x v="2"/>
  </r>
  <r>
    <s v="OPP-10052"/>
    <s v="ACC-1016"/>
    <s v="Elm Realty"/>
    <s v="Pedro Martins"/>
    <s v="Elm Realty - DDM - Data - Services &amp; Tech - Services (Analytics &amp; Support) - 03/2026"/>
    <s v="Flex/Renewal"/>
    <s v="Closed Won"/>
    <n v="517703.16"/>
    <s v="BRL"/>
    <n v="96838.56"/>
    <s v="BRL"/>
    <s v="DDM - Data - Services &amp; Tech - Services (Analytics &amp; Support)"/>
    <d v="2026-03-23T00:00:00"/>
    <d v="2025-11-27T00:00:00"/>
    <s v="MH Lead (DEPRECATED)"/>
    <s v="Votorantim, BR"/>
    <s v="22"/>
    <s v="12"/>
    <s v="Unknown"/>
    <x v="1"/>
    <x v="2"/>
  </r>
  <r>
    <s v="OPP-10097"/>
    <s v="ACC-1014"/>
    <s v="Fern Agriculture"/>
    <s v="Lucas Almeida"/>
    <s v="Fern Agriculture - Media - GEO/AEO - 04/2026"/>
    <s v="Project - Not Competitive"/>
    <s v="Registration"/>
    <n v="1410000"/>
    <s v="BRL"/>
    <n v="241200"/>
    <s v="BRL"/>
    <s v="Media - GEO/AEO"/>
    <d v="2026-04-13T00:00:00"/>
    <d v="2026-01-16T00:00:00"/>
    <s v="Inbound - Website - Media.Monks (DEPRECATED)"/>
    <s v="Votorantim, BR"/>
    <s v="21"/>
    <s v="12"/>
    <s v="Inbound"/>
    <x v="0"/>
    <x v="5"/>
  </r>
  <r>
    <s v="OPP-10097"/>
    <s v="ACC-1014"/>
    <s v="Fern Agriculture"/>
    <s v="Lucas Almeida"/>
    <s v="Fern Agriculture - DDM - Data - Services &amp; Tech - Services (Analytics &amp; Support) - 04/2026"/>
    <s v="Project - Not Competitive"/>
    <s v="Registration"/>
    <n v="1410000"/>
    <s v="BRL"/>
    <n v="234000"/>
    <s v="BRL"/>
    <s v="DDM - Data - Services &amp; Tech - Services (Analytics &amp; Support)"/>
    <d v="2026-04-13T00:00:00"/>
    <d v="2026-01-16T00:00:00"/>
    <s v="Inbound - Website - Media.Monks (DEPRECATED)"/>
    <s v="Votorantim, BR"/>
    <s v="21"/>
    <s v="12"/>
    <s v="Inbound"/>
    <x v="0"/>
    <x v="5"/>
  </r>
  <r>
    <s v="OPP-10175"/>
    <s v="ACC-1007"/>
    <s v="Anise Beauty"/>
    <s v="Daniel Moura"/>
    <s v="Anise Beauty - DDM - Media - Managed Media (AOR) - 05/2026"/>
    <s v="Change Order/Upsell"/>
    <s v="Negotiation"/>
    <n v="1302107.45"/>
    <s v="BRL"/>
    <n v="1036486.24"/>
    <s v="BRL"/>
    <s v="DDM - Media - Managed Media (AOR)"/>
    <d v="2026-05-31T00:00:00"/>
    <d v="2026-11-03T00:00:00"/>
    <s v="Don't Know/Other (DEPRECATED)"/>
    <s v="Votorantim, BR"/>
    <s v="15"/>
    <s v="12"/>
    <s v="Unknown"/>
    <x v="1"/>
    <x v="0"/>
  </r>
  <r>
    <s v="OPP-10175"/>
    <s v="ACC-1007"/>
    <s v="Anise Beauty"/>
    <s v="Daniel Moura"/>
    <s v="Anise Beauty - DDM - Data - Services &amp; Tech - Services (Analytics &amp; Support) - 05/2026"/>
    <s v="Change Order/Upsell"/>
    <s v="Negotiation"/>
    <n v="1302107.45"/>
    <s v="BRL"/>
    <n v="265621.21000000002"/>
    <s v="BRL"/>
    <s v="DDM - Data - Services &amp; Tech - Services (Analytics &amp; Support)"/>
    <d v="2026-05-31T00:00:00"/>
    <d v="2026-11-03T00:00:00"/>
    <s v="Don't Know/Other (DEPRECATED)"/>
    <s v="Votorantim, BR"/>
    <s v="15"/>
    <s v="12"/>
    <s v="Unknown"/>
    <x v="1"/>
    <x v="0"/>
  </r>
  <r>
    <s v="OPP-10056"/>
    <s v="ACC-1076"/>
    <s v="Kudzu Retail"/>
    <s v="Karina Oliveira"/>
    <s v="Kudzu Retail - DDM - Media - Managed Media (AOR) - 01/2026"/>
    <s v="Flex/Renewal"/>
    <s v="Closed Won"/>
    <n v="234960"/>
    <s v="BRL"/>
    <n v="234960"/>
    <s v="BRL"/>
    <s v="DDM - Media - Managed Media (AOR)"/>
    <d v="2026-01-20T00:00:00"/>
    <d v="2025-11-28T00:00:00"/>
    <s v="Inbound - Current Client (DEPRECATED)"/>
    <s v="Votorantim, BR"/>
    <s v="84"/>
    <s v="12"/>
    <s v="Customer Success"/>
    <x v="1"/>
    <x v="4"/>
  </r>
  <r>
    <s v="OPP-10095"/>
    <s v="ACC-1065"/>
    <s v="LarkSão Paulo, BRur Foods"/>
    <s v="Joao Pereira"/>
    <s v="LarkSão Paulo, BRur Foods - DDM - Media - Managed Media (AOR) - 07/2026"/>
    <s v="Project - Competitive"/>
    <s v="Pitching"/>
    <n v="1200000"/>
    <s v="BRL"/>
    <n v="1200000"/>
    <s v="BRL"/>
    <s v="DDM - Media - Managed Media (AOR)"/>
    <d v="2026-06-07T00:00:00"/>
    <d v="2026-01-15T00:00:00"/>
    <s v="Referral - Personal"/>
    <s v="São Carlos, BR"/>
    <s v="15"/>
    <s v="12"/>
    <s v="Referral"/>
    <x v="0"/>
    <x v="1"/>
  </r>
  <r>
    <s v="OPP-10139"/>
    <s v="ACC-1070"/>
    <s v="Quinoa Foods"/>
    <s v="Wanda Borges"/>
    <s v="Quinoa Foods - DDM - Media - Managed Media (AOR) - 04/2026"/>
    <s v="Project - Competitive"/>
    <s v="Registration"/>
    <n v="1184791"/>
    <s v="BRL"/>
    <n v="777971"/>
    <s v="BRL"/>
    <s v="DDM - Media - Managed Media (AOR)"/>
    <d v="2026-04-24T00:00:00"/>
    <d v="2026-02-18T00:00:00"/>
    <s v="Referral - S4 Company"/>
    <s v="São Paulo, BR"/>
    <s v="26"/>
    <s v="10"/>
    <s v="Referral"/>
    <x v="0"/>
    <x v="5"/>
  </r>
  <r>
    <s v="OPP-10139"/>
    <s v="ACC-1070"/>
    <s v="Quinoa Foods"/>
    <s v="Wanda Borges"/>
    <s v="Quinoa Foods - DDM - Data - Services &amp; Tech - Services (Data Science/Data Eng.) - 04/2026"/>
    <s v="Project - Competitive"/>
    <s v="Registration"/>
    <n v="1184791"/>
    <s v="BRL"/>
    <n v="406820"/>
    <s v="BRL"/>
    <s v="DDM - Data - Services &amp; Tech - Services (Data Science/Data Eng.)"/>
    <d v="2026-04-24T00:00:00"/>
    <d v="2026-02-18T00:00:00"/>
    <s v="Referral - S4 Company"/>
    <s v="São Paulo, BR"/>
    <s v="26"/>
    <s v="10"/>
    <s v="Referral"/>
    <x v="0"/>
    <x v="5"/>
  </r>
  <r>
    <s v="OPP-10017"/>
    <s v="ACC-1063"/>
    <s v="Saffron Fashion"/>
    <s v="Ana Silva"/>
    <s v="Saffron Fashion - DDM - Data - Services &amp; Tech - Services (Analytics &amp; Support) - 01/2026"/>
    <s v="Change Order/Upsell"/>
    <s v="Closed Won"/>
    <n v="1157087.3999999999"/>
    <s v="BRL"/>
    <n v="230265"/>
    <s v="BRL"/>
    <s v="DDM - Data - Services &amp; Tech - Services (Analytics &amp; Support)"/>
    <d v="2026-05-01T00:00:00"/>
    <d v="2025-09-25T00:00:00"/>
    <s v="Inbound - Current Client (DEPRECATED)"/>
    <s v="São Carlos, BR"/>
    <s v="99"/>
    <s v="12"/>
    <s v="Customer Success"/>
    <x v="1"/>
    <x v="0"/>
  </r>
  <r>
    <s v="OPP-10017"/>
    <s v="ACC-1063"/>
    <s v="Saffron Fashion"/>
    <s v="Ana Silva"/>
    <s v="Saffron Fashion - Content - Platform - Performance, SEO, CRM &amp; Loyalty - 01/2026"/>
    <s v="Change Order/Upsell"/>
    <s v="Closed Won"/>
    <n v="1157087.3999999999"/>
    <s v="BRL"/>
    <n v="926822.40000000002"/>
    <s v="BRL"/>
    <s v="Content - Platform - Performance, SEO, CRM &amp; Loyalty"/>
    <d v="2026-05-01T00:00:00"/>
    <d v="2025-09-25T00:00:00"/>
    <s v="Inbound - Current Client (DEPRECATED)"/>
    <s v="São Carlos, BR"/>
    <s v="99"/>
    <s v="12"/>
    <s v="Customer Success"/>
    <x v="1"/>
    <x v="0"/>
  </r>
  <r>
    <s v="OPP-10131"/>
    <s v="ACC-1033"/>
    <s v="Onyx Utilities"/>
    <s v="Amanda Rios"/>
    <s v="Onyx Utilities - DDM - Media - Creative - 05/2026"/>
    <s v="Change Order/Upsell"/>
    <s v="Pitched"/>
    <n v="1096669.2"/>
    <s v="BRL"/>
    <n v="1096669.2"/>
    <s v="BRL"/>
    <s v="DDM - Media - Creative"/>
    <d v="2026-05-31T00:00:00"/>
    <d v="2026-12-02T00:00:00"/>
    <s v="Inbound - Current Client (DEPRECATED)"/>
    <s v="Votorantim, BR"/>
    <s v="47"/>
    <s v="12"/>
    <s v="Customer Success"/>
    <x v="1"/>
    <x v="0"/>
  </r>
  <r>
    <s v="OPP-10031"/>
    <s v="ACC-1070"/>
    <s v="Quinoa Foods"/>
    <s v="Wanda Borges"/>
    <s v="Quinoa Foods - DDM - CRM - Salesforce Marketing Cloud - 01/2026"/>
    <s v="Project - Competitive"/>
    <s v="Closed Won"/>
    <n v="1014586.08"/>
    <s v="BRL"/>
    <n v="286707.59999999998"/>
    <s v="BRL"/>
    <s v="DDM - CRM - Salesforce Marketing Cloud"/>
    <d v="2026-06-01T00:00:00"/>
    <d v="2025-10-27T00:00:00"/>
    <s v="Prospecting - Current Client (DEPRECATED)"/>
    <s v="São Paulo, BR"/>
    <s v="98"/>
    <s v="6"/>
    <s v="Customer Success"/>
    <x v="0"/>
    <x v="1"/>
  </r>
  <r>
    <s v="OPP-10059"/>
    <s v="ACC-1029"/>
    <s v="Zephyr Telecom"/>
    <s v="Ana Silva"/>
    <s v="Zephyr Telecom - DDM - Data - Services &amp; Tech - Services (Analytics &amp; Support) - 03/2026"/>
    <s v="Flex/Renewal"/>
    <s v="Closed Won"/>
    <n v="490082.16"/>
    <s v="BRL"/>
    <n v="144000"/>
    <s v="BRL"/>
    <s v="DDM - Data - Services &amp; Tech - Services (Analytics &amp; Support)"/>
    <d v="2026-11-03T00:00:00"/>
    <d v="2025-02-12T00:00:00"/>
    <s v="Inbound - Current Client (DEPRECATED)"/>
    <s v="São Carlos, BR"/>
    <s v="34"/>
    <s v="12"/>
    <s v="Customer Success"/>
    <x v="1"/>
    <x v="9"/>
  </r>
  <r>
    <s v="OPP-10059"/>
    <s v="ACC-1029"/>
    <s v="Zephyr Telecom"/>
    <s v="Ana Silva"/>
    <s v="Zephyr Telecom - DDM - Media - Managed Media (AOR) - 03/2026"/>
    <s v="Flex/Renewal"/>
    <s v="Closed Won"/>
    <n v="490082.16"/>
    <s v="BRL"/>
    <n v="346082.16"/>
    <s v="BRL"/>
    <s v="DDM - Media - Managed Media (AOR)"/>
    <d v="2026-11-03T00:00:00"/>
    <d v="2025-02-12T00:00:00"/>
    <s v="Inbound - Current Client (DEPRECATED)"/>
    <s v="São Carlos, BR"/>
    <s v="34"/>
    <s v="12"/>
    <s v="Customer Success"/>
    <x v="1"/>
    <x v="9"/>
  </r>
  <r>
    <s v="OPP-10031"/>
    <s v="ACC-1070"/>
    <s v="Quinoa Foods"/>
    <s v="Wanda Borges"/>
    <s v="Quinoa Foods - DDM - Media - Managed Media (AOR) - 01/2026"/>
    <s v="Project - Competitive"/>
    <s v="Closed Won"/>
    <n v="1014586.08"/>
    <s v="BRL"/>
    <n v="472133.4"/>
    <s v="BRL"/>
    <s v="DDM - Media - Managed Media (AOR)"/>
    <d v="2026-06-01T00:00:00"/>
    <d v="2025-10-27T00:00:00"/>
    <s v="Prospecting - Current Client (DEPRECATED)"/>
    <s v="São Paulo, BR"/>
    <s v="98"/>
    <s v="6"/>
    <s v="Customer Success"/>
    <x v="0"/>
    <x v="1"/>
  </r>
  <r>
    <s v="OPP-10031"/>
    <s v="ACC-1070"/>
    <s v="Quinoa Foods"/>
    <s v="Wanda Borges"/>
    <s v="Quinoa Foods - DDM - Data - Services &amp; Tech - Services (Data Science/Data Eng.) - 01/2026"/>
    <s v="Project - Competitive"/>
    <s v="Closed Won"/>
    <n v="1014586.08"/>
    <s v="BRL"/>
    <n v="255745.08"/>
    <s v="BRL"/>
    <s v="DDM - Data - Services &amp; Tech - Services (Data Science/Data Eng.)"/>
    <d v="2026-06-01T00:00:00"/>
    <d v="2025-10-27T00:00:00"/>
    <s v="Prospecting - Current Client (DEPRECATED)"/>
    <s v="São Paulo, BR"/>
    <s v="98"/>
    <s v="6"/>
    <s v="Customer Success"/>
    <x v="0"/>
    <x v="1"/>
  </r>
  <r>
    <s v="OPP-10147"/>
    <s v="ACC-1008"/>
    <s v="Dogwood Pharma"/>
    <s v="Lucas Almeida"/>
    <s v="Dogwood Pharma - DDM - Data - Services &amp; Tech - Services (Analytics &amp; Support) - 05/2026"/>
    <s v="Project - Competitive"/>
    <s v="Negotiation"/>
    <n v="1000704"/>
    <s v="BRL"/>
    <n v="433188"/>
    <s v="BRL"/>
    <s v="DDM - Data - Services &amp; Tech - Services (Analytics &amp; Support)"/>
    <d v="2026-04-05T00:00:00"/>
    <d v="2026-02-23T00:00:00"/>
    <s v="Prospecting - Current Client (DEPRECATED)"/>
    <s v="São Carlos, BR"/>
    <s v="50"/>
    <s v="12"/>
    <s v="Customer Success"/>
    <x v="0"/>
    <x v="5"/>
  </r>
  <r>
    <s v="OPP-10147"/>
    <s v="ACC-1008"/>
    <s v="Dogwood Pharma"/>
    <s v="Lucas Almeida"/>
    <s v="Dogwood Pharma - DDM - Data - Services &amp; Tech - Services (Analytics &amp; Support) - 05/2026"/>
    <s v="Project - Competitive"/>
    <s v="Negotiation"/>
    <n v="1000704"/>
    <s v="BRL"/>
    <n v="567516"/>
    <s v="BRL"/>
    <s v="DDM - Data - Services &amp; Tech - Services (Analytics &amp; Support)"/>
    <d v="2026-04-05T00:00:00"/>
    <d v="2026-02-23T00:00:00"/>
    <s v="Prospecting - Current Client (DEPRECATED)"/>
    <s v="São Carlos, BR"/>
    <s v="50"/>
    <s v="12"/>
    <s v="Customer Success"/>
    <x v="0"/>
    <x v="5"/>
  </r>
  <r>
    <s v="OPP-10069"/>
    <s v="ACC-1022"/>
    <s v="Ember HoSão Paulo, BRitality"/>
    <s v="Sofia Guimaraes"/>
    <s v="Ember HoSão Paulo, BRitality - DDM - Media - Advisory - 04/2026"/>
    <s v="Change Order/Upsell"/>
    <s v="Closed Won"/>
    <n v="996914.04"/>
    <s v="BRL"/>
    <n v="996914.04"/>
    <s v="BRL"/>
    <s v="DDM - Media - Advisory"/>
    <d v="2026-02-04T00:00:00"/>
    <d v="2025-12-12T00:00:00"/>
    <s v="Inbound - Current Client (DEPRECATED)"/>
    <s v="São Paulo, BR"/>
    <s v="12"/>
    <s v="10"/>
    <s v="Customer Success"/>
    <x v="1"/>
    <x v="3"/>
  </r>
  <r>
    <s v="OPP-10060"/>
    <s v="ACC-1005"/>
    <s v="Helios Tech"/>
    <s v="Lucas Almeida"/>
    <s v="Helios Tech - DDM - Media - Managed Media (AOR) - 04/2026"/>
    <s v="Project - Competitive"/>
    <s v="Registration"/>
    <n v="993642.36"/>
    <s v="BRL"/>
    <n v="593490.36"/>
    <s v="BRL"/>
    <s v="DDM - Media - Managed Media (AOR)"/>
    <d v="2026-10-04T00:00:00"/>
    <d v="2025-03-12T00:00:00"/>
    <s v="Don't Know/Other (DEPRECATED)"/>
    <s v="Votorantim, BR"/>
    <s v="21"/>
    <s v="12"/>
    <s v="Unknown"/>
    <x v="0"/>
    <x v="10"/>
  </r>
  <r>
    <s v="OPP-10060"/>
    <s v="ACC-1005"/>
    <s v="Helios Tech"/>
    <s v="Lucas Almeida"/>
    <s v="Helios Tech - DDM - Media - Creative - 04/2026"/>
    <s v="Project - Competitive"/>
    <s v="Registration"/>
    <n v="993642.36"/>
    <s v="BRL"/>
    <n v="343152"/>
    <s v="BRL"/>
    <s v="DDM - Media - Creative"/>
    <d v="2026-10-04T00:00:00"/>
    <d v="2025-03-12T00:00:00"/>
    <s v="Don't Know/Other (DEPRECATED)"/>
    <s v="Votorantim, BR"/>
    <s v="21"/>
    <s v="12"/>
    <s v="Unknown"/>
    <x v="0"/>
    <x v="10"/>
  </r>
  <r>
    <s v="OPP-10060"/>
    <s v="ACC-1005"/>
    <s v="Helios Tech"/>
    <s v="Lucas Almeida"/>
    <s v="Helios Tech - DDM - Data - Services &amp; Tech - Services (Analytics &amp; Support) - 04/2026"/>
    <s v="Project - Competitive"/>
    <s v="Registration"/>
    <n v="993642.36"/>
    <s v="BRL"/>
    <n v="57000"/>
    <s v="BRL"/>
    <s v="DDM - Data - Services &amp; Tech - Services (Analytics &amp; Support)"/>
    <d v="2026-10-04T00:00:00"/>
    <d v="2025-03-12T00:00:00"/>
    <s v="Don't Know/Other (DEPRECATED)"/>
    <s v="Votorantim, BR"/>
    <s v="21"/>
    <s v="12"/>
    <s v="Unknown"/>
    <x v="0"/>
    <x v="10"/>
  </r>
  <r>
    <s v="OPP-10064"/>
    <s v="ACC-1031"/>
    <s v="Nova Studios"/>
    <s v="Queila Ribeiro"/>
    <s v="Nova Studios - DDM - Media - Managed Media (AOR) - 04/2026"/>
    <s v="Flex/Renewal"/>
    <s v="Registration"/>
    <n v="4235159.34"/>
    <s v="BRL"/>
    <n v="3564631.98"/>
    <s v="BRL"/>
    <s v="DDM - Media - Managed Media (AOR)"/>
    <d v="2026-04-17T00:00:00"/>
    <d v="2025-08-12T00:00:00"/>
    <s v="Inbound - Current Client (DEPRECATED)"/>
    <s v="São Carlos, BR"/>
    <s v="26"/>
    <s v="6"/>
    <s v="Customer Success"/>
    <x v="1"/>
    <x v="5"/>
  </r>
  <r>
    <s v="OPP-10064"/>
    <s v="ACC-1031"/>
    <s v="Nova Studios"/>
    <s v="Queila Ribeiro"/>
    <s v="Nova Studios - DDM - Media - Creative - 04/2026"/>
    <s v="Flex/Renewal"/>
    <s v="Registration"/>
    <n v="4235159.34"/>
    <s v="BRL"/>
    <n v="459539.83"/>
    <s v="BRL"/>
    <s v="DDM - Media - Creative"/>
    <d v="2026-04-17T00:00:00"/>
    <d v="2025-08-12T00:00:00"/>
    <s v="Inbound - Current Client (DEPRECATED)"/>
    <s v="São Carlos, BR"/>
    <s v="26"/>
    <s v="6"/>
    <s v="Customer Success"/>
    <x v="1"/>
    <x v="5"/>
  </r>
  <r>
    <s v="OPP-10064"/>
    <s v="ACC-1031"/>
    <s v="Nova Studios"/>
    <s v="Queila Ribeiro"/>
    <s v="Nova Studios - DDM - Data - Services &amp; Tech - Services (Analytics &amp; Support) - 04/2026"/>
    <s v="Flex/Renewal"/>
    <s v="Registration"/>
    <n v="4235159.34"/>
    <s v="BRL"/>
    <n v="210987.53"/>
    <s v="BRL"/>
    <s v="DDM - Data - Services &amp; Tech - Services (Analytics &amp; Support)"/>
    <d v="2026-04-17T00:00:00"/>
    <d v="2025-08-12T00:00:00"/>
    <s v="Inbound - Current Client (DEPRECATED)"/>
    <s v="São Carlos, BR"/>
    <s v="26"/>
    <s v="6"/>
    <s v="Customer Success"/>
    <x v="1"/>
    <x v="5"/>
  </r>
  <r>
    <s v="OPP-10146"/>
    <s v="ACC-1116"/>
    <s v="Company 115"/>
    <s v="Lucas Almeida"/>
    <s v="Company 115 - DDM - Media - Managed Media (AOR) - 05/2026"/>
    <s v="Project - Not Competitive"/>
    <s v="Opportunity Identified"/>
    <n v="935328"/>
    <s v="BRL"/>
    <n v="935328"/>
    <s v="BRL"/>
    <s v="DDM - Media - Managed Media (AOR)"/>
    <d v="2026-05-18T00:00:00"/>
    <d v="2026-02-23T00:00:00"/>
    <s v="Referral - Internal"/>
    <s v="São Carlos, BR"/>
    <s v="50"/>
    <s v="12"/>
    <s v="Referral"/>
    <x v="0"/>
    <x v="0"/>
  </r>
  <r>
    <s v="OPP-10066"/>
    <s v="ACC-1049"/>
    <s v="Hazel Construction"/>
    <s v="Bernardo Castro"/>
    <s v="Hazel Construction - DDM - Media - Managed Media (AOR) - 03/2026"/>
    <s v="Flex/Renewal"/>
    <s v="Closed Won"/>
    <n v="1546078.56"/>
    <s v="BRL"/>
    <n v="133226.4"/>
    <s v="BRL"/>
    <s v="DDM - Media - Managed Media (AOR)"/>
    <d v="2026-12-03T00:00:00"/>
    <d v="2025-08-12T00:00:00"/>
    <s v="Inbound - Current Client (DEPRECATED)"/>
    <s v="São Carlos, BR"/>
    <s v="33"/>
    <s v="12"/>
    <s v="Customer Success"/>
    <x v="1"/>
    <x v="6"/>
  </r>
  <r>
    <s v="OPP-10066"/>
    <s v="ACC-1049"/>
    <s v="Hazel Construction"/>
    <s v="Bernardo Castro"/>
    <s v="Hazel Construction - DDM - Data - Services &amp; Tech - Services (Analytics &amp; Support) - 03/2026"/>
    <s v="Flex/Renewal"/>
    <s v="Closed Won"/>
    <n v="1546078.56"/>
    <s v="BRL"/>
    <n v="183485.76"/>
    <s v="BRL"/>
    <s v="DDM - Data - Services &amp; Tech - Services (Analytics &amp; Support)"/>
    <d v="2026-12-03T00:00:00"/>
    <d v="2025-08-12T00:00:00"/>
    <s v="Inbound - Current Client (DEPRECATED)"/>
    <s v="São Carlos, BR"/>
    <s v="33"/>
    <s v="12"/>
    <s v="Customer Success"/>
    <x v="1"/>
    <x v="6"/>
  </r>
  <r>
    <s v="OPP-10066"/>
    <s v="ACC-1049"/>
    <s v="Hazel Construction"/>
    <s v="Bernardo Castro"/>
    <s v="Hazel Construction - Content - Social - AOR - 03/2026"/>
    <s v="Flex/Renewal"/>
    <s v="Closed Won"/>
    <n v="1546078.56"/>
    <s v="BRL"/>
    <n v="1229366.3999999999"/>
    <s v="BRL"/>
    <s v="Content - Social - AOR"/>
    <d v="2026-12-03T00:00:00"/>
    <d v="2025-08-12T00:00:00"/>
    <s v="Inbound - Current Client (DEPRECATED)"/>
    <s v="São Carlos, BR"/>
    <s v="33"/>
    <s v="12"/>
    <s v="Customer Success"/>
    <x v="1"/>
    <x v="6"/>
  </r>
  <r>
    <s v="OPP-10067"/>
    <s v="ACC-1075"/>
    <s v="Kestrel Logistics"/>
    <s v="Bernardo Castro"/>
    <s v="Kestrel Logistics - Content - Platform - Website Creation &amp; Production - 02/2026"/>
    <s v="Flex/Renewal"/>
    <s v="Closed Won"/>
    <n v="940468.92"/>
    <s v="BRL"/>
    <n v="940468.92"/>
    <s v="BRL"/>
    <s v="Content - Platform - Website Creation &amp; Production"/>
    <d v="2026-02-13T00:00:00"/>
    <d v="2025-08-12T00:00:00"/>
    <s v="Inbound - Current Client (DEPRECATED)"/>
    <s v="São Carlos, BR"/>
    <s v="60"/>
    <s v="12"/>
    <s v="Customer Success"/>
    <x v="1"/>
    <x v="3"/>
  </r>
  <r>
    <s v="OPP-10173"/>
    <s v="ACC-1120"/>
    <s v="Company 119"/>
    <s v="Felipe Lima"/>
    <s v="Company 119 - DDM - Media - Creative - 05/2026"/>
    <s v="Project - Competitive"/>
    <s v="Pitched"/>
    <n v="894521"/>
    <s v="BRL"/>
    <n v="275800.2"/>
    <s v="BRL"/>
    <s v="DDM - Media - Creative"/>
    <d v="2026-04-05T00:00:00"/>
    <d v="2026-11-03T00:00:00"/>
    <s v="Inbound - Website - Media.Monks (DEPRECATED)"/>
    <s v="São Carlos, BR"/>
    <s v="25"/>
    <s v="12"/>
    <s v="Inbound"/>
    <x v="0"/>
    <x v="5"/>
  </r>
  <r>
    <s v="OPP-10173"/>
    <s v="ACC-1120"/>
    <s v="Company 119"/>
    <s v="Felipe Lima"/>
    <s v="Company 119 - DDM - Media - Managed Media (AOR) - 05/2026"/>
    <s v="Project - Competitive"/>
    <s v="Pitched"/>
    <n v="894521"/>
    <s v="BRL"/>
    <n v="574768.80000000005"/>
    <s v="BRL"/>
    <s v="DDM - Media - Managed Media (AOR)"/>
    <d v="2026-04-05T00:00:00"/>
    <d v="2026-11-03T00:00:00"/>
    <s v="Inbound - Website - Media.Monks (DEPRECATED)"/>
    <s v="São Carlos, BR"/>
    <s v="25"/>
    <s v="12"/>
    <s v="Inbound"/>
    <x v="0"/>
    <x v="5"/>
  </r>
  <r>
    <s v="OPP-10173"/>
    <s v="ACC-1120"/>
    <s v="Company 119"/>
    <s v="Felipe Lima"/>
    <s v="Company 119 - DDM - Data - Services &amp; Tech - Services (Analytics &amp; Support) - 05/2026"/>
    <s v="Project - Competitive"/>
    <s v="Pitched"/>
    <n v="894521"/>
    <s v="BRL"/>
    <n v="43952"/>
    <s v="BRL"/>
    <s v="DDM - Data - Services &amp; Tech - Services (Analytics &amp; Support)"/>
    <d v="2026-04-05T00:00:00"/>
    <d v="2026-11-03T00:00:00"/>
    <s v="Inbound - Website - Media.Monks (DEPRECATED)"/>
    <s v="São Carlos, BR"/>
    <s v="25"/>
    <s v="12"/>
    <s v="Inbound"/>
    <x v="0"/>
    <x v="5"/>
  </r>
  <r>
    <s v="OPP-10242"/>
    <s v="ACC-1115"/>
    <s v="Company 114"/>
    <s v="Xavier Correia"/>
    <s v="Company 114 - DDM - Media - Managed Media (AOR) - 06/2026"/>
    <s v="Project - Competitive"/>
    <s v="Pitched"/>
    <n v="877063.2"/>
    <s v="BRL"/>
    <n v="416671.2"/>
    <s v="BRL"/>
    <s v="DDM - Media - Managed Media (AOR)"/>
    <d v="2026-06-30T00:00:00"/>
    <d v="2026-10-04T00:00:00"/>
    <s v="MH Lead (DEPRECATED)"/>
    <s v="Votorantim, BR"/>
    <s v="4"/>
    <s v="12"/>
    <s v="Unknown"/>
    <x v="0"/>
    <x v="1"/>
  </r>
  <r>
    <s v="OPP-10242"/>
    <s v="ACC-1115"/>
    <s v="Company 114"/>
    <s v="Xavier Correia"/>
    <s v="Company 114 - Content - Platform - Performance, SEO, CRM &amp; Loyalty - 06/2026"/>
    <s v="Project - Competitive"/>
    <s v="Pitched"/>
    <n v="877063.2"/>
    <s v="BRL"/>
    <n v="460392"/>
    <s v="BRL"/>
    <s v="Content - Platform - Performance, SEO, CRM &amp; Loyalty"/>
    <d v="2026-06-30T00:00:00"/>
    <d v="2026-10-04T00:00:00"/>
    <s v="MH Lead (DEPRECATED)"/>
    <s v="Votorantim, BR"/>
    <s v="4"/>
    <s v="12"/>
    <s v="Unknown"/>
    <x v="0"/>
    <x v="1"/>
  </r>
  <r>
    <s v="OPP-10128"/>
    <s v="ACC-1074"/>
    <s v="Tamarind Bank"/>
    <s v="Wanda Borges"/>
    <s v="Tamarind Bank - DDM - CRM - Salesforce Marketing Cloud - 05/2026"/>
    <s v="Project - Competitive"/>
    <s v="Pitched"/>
    <n v="863424.8"/>
    <s v="BRL"/>
    <n v="487402.9"/>
    <s v="BRL"/>
    <s v="DDM - CRM - Salesforce Marketing Cloud"/>
    <d v="2026-01-05T00:00:00"/>
    <d v="2026-11-02T00:00:00"/>
    <s v="Prospecting - Current Client (DEPRECATED)"/>
    <s v="São Carlos, BR"/>
    <s v="55"/>
    <s v="10"/>
    <s v="Customer Success"/>
    <x v="0"/>
    <x v="4"/>
  </r>
  <r>
    <s v="OPP-10128"/>
    <s v="ACC-1074"/>
    <s v="Tamarind Bank"/>
    <s v="Wanda Borges"/>
    <s v="Tamarind Bank - DDM - Data - Services &amp; Tech - Services (Analytics &amp; Support) - 05/2026"/>
    <s v="Project - Competitive"/>
    <s v="Pitched"/>
    <n v="863424.8"/>
    <s v="BRL"/>
    <n v="376021.9"/>
    <s v="BRL"/>
    <s v="DDM - Data - Services &amp; Tech - Services (Analytics &amp; Support)"/>
    <d v="2026-01-05T00:00:00"/>
    <d v="2026-11-02T00:00:00"/>
    <s v="Prospecting - Current Client (DEPRECATED)"/>
    <s v="São Carlos, BR"/>
    <s v="55"/>
    <s v="10"/>
    <s v="Customer Success"/>
    <x v="0"/>
    <x v="4"/>
  </r>
  <r>
    <s v="OPP-10072"/>
    <s v="ACC-1063"/>
    <s v="Saffron Fashion"/>
    <s v="Ana Silva"/>
    <s v="Saffron Fashion - DDM - Media - Managed Media (AOR) - 01/2026"/>
    <s v="Flex/Renewal"/>
    <s v="Closed Won"/>
    <n v="6770269.9100000001"/>
    <s v="BRL"/>
    <n v="3986192.66"/>
    <s v="BRL"/>
    <s v="DDM - Media - Managed Media (AOR)"/>
    <d v="2026-01-27T00:00:00"/>
    <d v="2025-12-15T00:00:00"/>
    <s v="Inbound - Current Client (DEPRECATED)"/>
    <s v="São Carlos, BR"/>
    <s v="77"/>
    <s v="12"/>
    <s v="Customer Success"/>
    <x v="1"/>
    <x v="4"/>
  </r>
  <r>
    <s v="OPP-10072"/>
    <s v="ACC-1063"/>
    <s v="Saffron Fashion"/>
    <s v="Ana Silva"/>
    <s v="Saffron Fashion - Content - Platform - Performance, SEO, CRM &amp; Loyalty - 01/2026"/>
    <s v="Flex/Renewal"/>
    <s v="Closed Won"/>
    <n v="6770269.9100000001"/>
    <s v="BRL"/>
    <n v="455478.43"/>
    <s v="BRL"/>
    <s v="Content - Platform - Performance, SEO, CRM &amp; Loyalty"/>
    <d v="2026-01-27T00:00:00"/>
    <d v="2025-12-15T00:00:00"/>
    <s v="Inbound - Current Client (DEPRECATED)"/>
    <s v="São Carlos, BR"/>
    <s v="77"/>
    <s v="12"/>
    <s v="Customer Success"/>
    <x v="1"/>
    <x v="4"/>
  </r>
  <r>
    <s v="OPP-10072"/>
    <s v="ACC-1063"/>
    <s v="Saffron Fashion"/>
    <s v="Ana Silva"/>
    <s v="Saffron Fashion - DDM - Media - Managed Media (AOR) - 01/2026"/>
    <s v="Flex/Renewal"/>
    <s v="Closed Won"/>
    <n v="6770269.9100000001"/>
    <s v="BRL"/>
    <n v="272925.34999999998"/>
    <s v="BRL"/>
    <s v="DDM - Media - Managed Media (AOR)"/>
    <d v="2026-01-27T00:00:00"/>
    <d v="2025-12-15T00:00:00"/>
    <s v="Inbound - Current Client (DEPRECATED)"/>
    <s v="São Carlos, BR"/>
    <s v="77"/>
    <s v="12"/>
    <s v="Customer Success"/>
    <x v="1"/>
    <x v="4"/>
  </r>
  <r>
    <s v="OPP-10072"/>
    <s v="ACC-1063"/>
    <s v="Saffron Fashion"/>
    <s v="Ana Silva"/>
    <s v="Saffron Fashion - DDM - Media - Creative - 01/2026"/>
    <s v="Flex/Renewal"/>
    <s v="Closed Won"/>
    <n v="6770269.9100000001"/>
    <s v="BRL"/>
    <n v="911038.48"/>
    <s v="BRL"/>
    <s v="DDM - Media - Creative"/>
    <d v="2026-01-27T00:00:00"/>
    <d v="2025-12-15T00:00:00"/>
    <s v="Inbound - Current Client (DEPRECATED)"/>
    <s v="São Carlos, BR"/>
    <s v="77"/>
    <s v="12"/>
    <s v="Customer Success"/>
    <x v="1"/>
    <x v="4"/>
  </r>
  <r>
    <s v="OPP-10072"/>
    <s v="ACC-1063"/>
    <s v="Saffron Fashion"/>
    <s v="Ana Silva"/>
    <s v="Saffron Fashion - DDM - Data - Services &amp; Tech - Services (Analytics &amp; Support) - 01/2026"/>
    <s v="Flex/Renewal"/>
    <s v="Closed Won"/>
    <n v="6770269.9100000001"/>
    <s v="BRL"/>
    <n v="1144634.99"/>
    <s v="BRL"/>
    <s v="DDM - Data - Services &amp; Tech - Services (Analytics &amp; Support)"/>
    <d v="2026-01-27T00:00:00"/>
    <d v="2025-12-15T00:00:00"/>
    <s v="Inbound - Current Client (DEPRECATED)"/>
    <s v="São Carlos, BR"/>
    <s v="77"/>
    <s v="12"/>
    <s v="Customer Success"/>
    <x v="1"/>
    <x v="4"/>
  </r>
  <r>
    <s v="OPP-10074"/>
    <s v="ACC-1059"/>
    <s v="Basalt Mining"/>
    <s v="Amanda Rios"/>
    <s v="Basalt Mining - DDM - Data - Services &amp; Tech - Platforms Reselling - 04/2026"/>
    <s v="Flex/Renewal"/>
    <s v="Registration"/>
    <n v="1545188.16"/>
    <s v="BRL"/>
    <n v="1545188.16"/>
    <s v="BRL"/>
    <s v="DDM - Data - Services &amp; Tech - Platforms Reselling"/>
    <d v="2026-04-30T00:00:00"/>
    <d v="2025-12-18T00:00:00"/>
    <s v="Inbound - Current Client (DEPRECATED)"/>
    <s v="São Paulo, BR"/>
    <s v="35"/>
    <s v="12"/>
    <s v="Customer Success"/>
    <x v="1"/>
    <x v="5"/>
  </r>
  <r>
    <s v="OPP-10124"/>
    <s v="ACC-1040"/>
    <s v="Quartz Pharma"/>
    <s v="Sofia Guimaraes"/>
    <s v="Quartz Pharma - DDM - Media - Creative - 06/2026"/>
    <s v="Change Order/Upsell"/>
    <s v="Pitching"/>
    <n v="845252.85"/>
    <s v="BRL"/>
    <n v="704595.14"/>
    <s v="BRL"/>
    <s v="DDM - Media - Creative"/>
    <d v="2026-06-30T00:00:00"/>
    <d v="2026-06-02T00:00:00"/>
    <s v="Inbound - Current Client (DEPRECATED)"/>
    <s v="São Carlos, BR"/>
    <s v="36"/>
    <s v="12"/>
    <s v="Customer Success"/>
    <x v="1"/>
    <x v="1"/>
  </r>
  <r>
    <s v="OPP-10124"/>
    <s v="ACC-1040"/>
    <s v="Quartz Pharma"/>
    <s v="Sofia Guimaraes"/>
    <s v="Quartz Pharma - Content - Social - AOR - 06/2026"/>
    <s v="Change Order/Upsell"/>
    <s v="Pitching"/>
    <n v="845252.85"/>
    <s v="BRL"/>
    <n v="120707.71"/>
    <s v="BRL"/>
    <s v="Content - Social - AOR"/>
    <d v="2026-06-30T00:00:00"/>
    <d v="2026-06-02T00:00:00"/>
    <s v="Inbound - Current Client (DEPRECATED)"/>
    <s v="São Carlos, BR"/>
    <s v="36"/>
    <s v="12"/>
    <s v="Customer Success"/>
    <x v="1"/>
    <x v="1"/>
  </r>
  <r>
    <s v="OPP-10124"/>
    <s v="ACC-1040"/>
    <s v="Quartz Pharma"/>
    <s v="Sofia Guimaraes"/>
    <s v="Quartz Pharma - DDM - Media - Creative - 06/2026"/>
    <s v="Change Order/Upsell"/>
    <s v="Pitching"/>
    <n v="845252.85"/>
    <s v="BRL"/>
    <n v="19950"/>
    <s v="BRL"/>
    <s v="DDM - Media - Creative"/>
    <d v="2026-06-30T00:00:00"/>
    <d v="2026-06-02T00:00:00"/>
    <s v="Inbound - Current Client (DEPRECATED)"/>
    <s v="São Carlos, BR"/>
    <s v="36"/>
    <s v="12"/>
    <s v="Customer Success"/>
    <x v="1"/>
    <x v="1"/>
  </r>
  <r>
    <s v="OPP-10207"/>
    <s v="ACC-1043"/>
    <s v="Xanadu Media"/>
    <s v="Bernardo Castro"/>
    <s v="Xanadu Media - DDM - Commerce - Content - 06/2026"/>
    <s v="Change Order/Upsell"/>
    <s v="Pitched"/>
    <n v="838800"/>
    <s v="BRL"/>
    <n v="248400"/>
    <s v="BRL"/>
    <s v="DDM - Commerce - Content"/>
    <d v="2026-06-30T00:00:00"/>
    <d v="2026-03-30T00:00:00"/>
    <s v="Prospecting - Current Client (DEPRECATED)"/>
    <s v="Votorantim, BR"/>
    <s v="5"/>
    <s v="12"/>
    <s v="Customer Success"/>
    <x v="1"/>
    <x v="1"/>
  </r>
  <r>
    <s v="OPP-10077"/>
    <s v="ACC-1057"/>
    <s v="Raven Sports"/>
    <s v="Carla Mendes"/>
    <s v="Raven Sports - DDM - Media - Managed Media (AOR) - 01/2026"/>
    <s v="Flex/Renewal"/>
    <s v="Closed Won"/>
    <n v="143100"/>
    <s v="BRL"/>
    <n v="143100"/>
    <s v="BRL"/>
    <s v="DDM - Media - Managed Media (AOR)"/>
    <d v="2026-01-31T00:00:00"/>
    <d v="2025-12-19T00:00:00"/>
    <s v="Inbound - Current Client (DEPRECATED)"/>
    <s v="Votorantim, BR"/>
    <s v="71"/>
    <s v="1"/>
    <s v="Customer Success"/>
    <x v="1"/>
    <x v="4"/>
  </r>
  <r>
    <s v="OPP-10207"/>
    <s v="ACC-1043"/>
    <s v="Xanadu Media"/>
    <s v="Bernardo Castro"/>
    <s v="Xanadu Media - Content - Platform - Performance, SEO, CRM &amp; Loyalty - 06/2026"/>
    <s v="Change Order/Upsell"/>
    <s v="Pitched"/>
    <n v="838800"/>
    <s v="BRL"/>
    <n v="248400"/>
    <s v="BRL"/>
    <s v="Content - Platform - Performance, SEO, CRM &amp; Loyalty"/>
    <d v="2026-06-30T00:00:00"/>
    <d v="2026-03-30T00:00:00"/>
    <s v="Prospecting - Current Client (DEPRECATED)"/>
    <s v="Votorantim, BR"/>
    <s v="5"/>
    <s v="12"/>
    <s v="Customer Success"/>
    <x v="1"/>
    <x v="1"/>
  </r>
  <r>
    <s v="OPP-10207"/>
    <s v="ACC-1043"/>
    <s v="Xanadu Media"/>
    <s v="Bernardo Castro"/>
    <s v="Xanadu Media - Content - Platform - Website Creation &amp; Production - 06/2026"/>
    <s v="Change Order/Upsell"/>
    <s v="Pitched"/>
    <n v="838800"/>
    <s v="BRL"/>
    <n v="144000"/>
    <s v="BRL"/>
    <s v="Content - Platform - Website Creation &amp; Production"/>
    <d v="2026-06-30T00:00:00"/>
    <d v="2026-03-30T00:00:00"/>
    <s v="Prospecting - Current Client (DEPRECATED)"/>
    <s v="Votorantim, BR"/>
    <s v="5"/>
    <s v="12"/>
    <s v="Customer Success"/>
    <x v="1"/>
    <x v="1"/>
  </r>
  <r>
    <s v="OPP-10207"/>
    <s v="ACC-1043"/>
    <s v="Xanadu Media"/>
    <s v="Bernardo Castro"/>
    <s v="Xanadu Media - DDM - Media - Managed Media (AOR) - 06/2026"/>
    <s v="Change Order/Upsell"/>
    <s v="Pitched"/>
    <n v="838800"/>
    <s v="BRL"/>
    <n v="198000"/>
    <s v="BRL"/>
    <s v="DDM - Media - Managed Media (AOR)"/>
    <d v="2026-06-30T00:00:00"/>
    <d v="2026-03-30T00:00:00"/>
    <s v="Prospecting - Current Client (DEPRECATED)"/>
    <s v="Votorantim, BR"/>
    <s v="5"/>
    <s v="12"/>
    <s v="Customer Success"/>
    <x v="1"/>
    <x v="1"/>
  </r>
  <r>
    <s v="OPP-10172"/>
    <s v="ACC-1085"/>
    <s v="Yumberry Mobile"/>
    <s v="Felipe Lima"/>
    <s v="Yumberry Mobile - DDM - Media - Managed Media (AOR) - 05/2026"/>
    <s v="Project - Competitive"/>
    <s v="Negotiation"/>
    <n v="835250.32000000007"/>
    <s v="BRL"/>
    <n v="365077.92"/>
    <s v="BRL"/>
    <s v="DDM - Media - Managed Media (AOR)"/>
    <d v="2026-05-13T00:00:00"/>
    <d v="2026-11-03T00:00:00"/>
    <s v="Referral - Internal"/>
    <s v="São Carlos, BR"/>
    <s v="25"/>
    <s v="12"/>
    <s v="Referral"/>
    <x v="0"/>
    <x v="0"/>
  </r>
  <r>
    <s v="OPP-10172"/>
    <s v="ACC-1085"/>
    <s v="Yumberry Mobile"/>
    <s v="Felipe Lima"/>
    <s v="Yumberry Mobile - DDM - Media - Creative - 05/2026"/>
    <s v="Project - Competitive"/>
    <s v="Negotiation"/>
    <n v="835250.32000000007"/>
    <s v="BRL"/>
    <n v="278294.40000000002"/>
    <s v="BRL"/>
    <s v="DDM - Media - Creative"/>
    <d v="2026-05-13T00:00:00"/>
    <d v="2026-11-03T00:00:00"/>
    <s v="Referral - Internal"/>
    <s v="São Carlos, BR"/>
    <s v="25"/>
    <s v="12"/>
    <s v="Referral"/>
    <x v="0"/>
    <x v="0"/>
  </r>
  <r>
    <s v="OPP-10172"/>
    <s v="ACC-1085"/>
    <s v="Yumberry Mobile"/>
    <s v="Felipe Lima"/>
    <s v="Yumberry Mobile - DDM - Data - Services &amp; Tech - Services (Analytics &amp; Support) - 05/2026"/>
    <s v="Project - Competitive"/>
    <s v="Negotiation"/>
    <n v="835250.32000000007"/>
    <s v="BRL"/>
    <n v="41122"/>
    <s v="BRL"/>
    <s v="DDM - Data - Services &amp; Tech - Services (Analytics &amp; Support)"/>
    <d v="2026-05-13T00:00:00"/>
    <d v="2026-11-03T00:00:00"/>
    <s v="Referral - Internal"/>
    <s v="São Carlos, BR"/>
    <s v="25"/>
    <s v="12"/>
    <s v="Referral"/>
    <x v="0"/>
    <x v="0"/>
  </r>
  <r>
    <s v="OPP-10172"/>
    <s v="ACC-1085"/>
    <s v="Yumberry Mobile"/>
    <s v="Felipe Lima"/>
    <s v="Yumberry Mobile - Content - Platform - Performance, SEO, CRM &amp; Loyalty - 05/2026"/>
    <s v="Project - Competitive"/>
    <s v="Negotiation"/>
    <n v="835250.32000000007"/>
    <s v="BRL"/>
    <n v="150756"/>
    <s v="BRL"/>
    <s v="Content - Platform - Performance, SEO, CRM &amp; Loyalty"/>
    <d v="2026-05-13T00:00:00"/>
    <d v="2026-11-03T00:00:00"/>
    <s v="Referral - Internal"/>
    <s v="São Carlos, BR"/>
    <s v="25"/>
    <s v="12"/>
    <s v="Referral"/>
    <x v="0"/>
    <x v="0"/>
  </r>
  <r>
    <s v="OPP-10132"/>
    <s v="ACC-1078"/>
    <s v="Aurora Retail"/>
    <s v="Amanda Rios"/>
    <s v="Aurora Retail - Content - Social - AOR - 05/2026"/>
    <s v="Change Order/Upsell"/>
    <s v="Pitched"/>
    <n v="800000"/>
    <s v="BRL"/>
    <n v="800000"/>
    <s v="BRL"/>
    <s v="Content - Social - AOR"/>
    <d v="2026-05-31T00:00:00"/>
    <d v="2026-12-02T00:00:00"/>
    <s v="Inbound - Current Client (DEPRECATED)"/>
    <s v="Votorantim, BR"/>
    <s v="12"/>
    <s v="12"/>
    <s v="Customer Success"/>
    <x v="1"/>
    <x v="0"/>
  </r>
  <r>
    <s v="OPP-10118"/>
    <s v="ACC-1066"/>
    <s v="Magnolia Retail"/>
    <s v="Carla Mendes"/>
    <s v="Magnolia Retail - Content - Platform - Performance, SEO, CRM &amp; Loyalty - 05/2026"/>
    <s v="Change Order/Upsell"/>
    <s v="Pitched"/>
    <n v="795900.24"/>
    <s v="BRL"/>
    <n v="45000"/>
    <s v="BRL"/>
    <s v="Content - Platform - Performance, SEO, CRM &amp; Loyalty"/>
    <d v="2026-05-31T00:00:00"/>
    <d v="2026-04-02T00:00:00"/>
    <s v="Inbound - Current Client (DEPRECATED)"/>
    <s v="São Carlos, BR"/>
    <s v="69"/>
    <s v="3"/>
    <s v="Customer Success"/>
    <x v="1"/>
    <x v="0"/>
  </r>
  <r>
    <s v="OPP-10118"/>
    <s v="ACC-1066"/>
    <s v="Magnolia Retail"/>
    <s v="Carla Mendes"/>
    <s v="Magnolia Retail - Content - Platform - Website Creation &amp; Production - 05/2026"/>
    <s v="Change Order/Upsell"/>
    <s v="Pitched"/>
    <n v="795900.24"/>
    <s v="BRL"/>
    <n v="585047.43999999994"/>
    <s v="BRL"/>
    <s v="Content - Platform - Website Creation &amp; Production"/>
    <d v="2026-05-31T00:00:00"/>
    <d v="2026-04-02T00:00:00"/>
    <s v="Inbound - Current Client (DEPRECATED)"/>
    <s v="São Carlos, BR"/>
    <s v="69"/>
    <s v="3"/>
    <s v="Customer Success"/>
    <x v="1"/>
    <x v="0"/>
  </r>
  <r>
    <s v="OPP-10087"/>
    <s v="ACC-1061"/>
    <s v="Nectarine Cosmetics"/>
    <s v="Sofia Guimaraes"/>
    <s v="Nectarine Cosmetics - DDM - Data - Automation - 04/2026"/>
    <s v="Flex/Renewal"/>
    <s v="Registration"/>
    <n v="120000"/>
    <s v="BRL"/>
    <n v="120000"/>
    <s v="BRL"/>
    <s v="DDM - Data - Automation"/>
    <d v="2026-04-30T00:00:00"/>
    <d v="2026-08-01T00:00:00"/>
    <s v="Inbound - Current Client (DEPRECATED)"/>
    <s v="São Carlos, BR"/>
    <s v="60"/>
    <s v="12"/>
    <s v="Customer Success"/>
    <x v="1"/>
    <x v="5"/>
  </r>
  <r>
    <s v="OPP-10118"/>
    <s v="ACC-1066"/>
    <s v="Magnolia Retail"/>
    <s v="Carla Mendes"/>
    <s v="Magnolia Retail - DDM - Commerce - Content - 05/2026"/>
    <s v="Change Order/Upsell"/>
    <s v="Pitched"/>
    <n v="795900.24"/>
    <s v="BRL"/>
    <n v="165852.79999999999"/>
    <s v="BRL"/>
    <s v="DDM - Commerce - Content"/>
    <d v="2026-05-31T00:00:00"/>
    <d v="2026-04-02T00:00:00"/>
    <s v="Inbound - Current Client (DEPRECATED)"/>
    <s v="São Carlos, BR"/>
    <s v="69"/>
    <s v="3"/>
    <s v="Customer Success"/>
    <x v="1"/>
    <x v="0"/>
  </r>
  <r>
    <s v="OPP-10016"/>
    <s v="ACC-1086"/>
    <s v="Sable Footwear"/>
    <s v="Joao Pereira"/>
    <s v="Sable Footwear - DDM - Data - Services &amp; Tech - Platforms Reselling - 02/2026"/>
    <s v="Project - Competitive"/>
    <s v="Closed Won"/>
    <n v="732596.04"/>
    <s v="BRL"/>
    <n v="732596.04"/>
    <s v="BRL"/>
    <s v="DDM - Data - Services &amp; Tech - Platforms Reselling"/>
    <d v="2026-02-23T00:00:00"/>
    <d v="2025-09-24T00:00:00"/>
    <s v="Inbound - Website - Media.Monks (DEPRECATED)"/>
    <s v="São Paulo, BR"/>
    <s v="50"/>
    <s v="12"/>
    <s v="Inbound"/>
    <x v="0"/>
    <x v="3"/>
  </r>
  <r>
    <s v="OPP-10090"/>
    <s v="ACC-1059"/>
    <s v="Basalt Mining"/>
    <s v="Amanda Rios"/>
    <s v="Basalt Mining - DDM - Data - Services &amp; Tech - Services (Analytics &amp; Support) - 05/2026"/>
    <s v="Flex/Renewal"/>
    <s v="Negotiation"/>
    <n v="2132708.1"/>
    <s v="BRL"/>
    <n v="1829304.72"/>
    <s v="BRL"/>
    <s v="DDM - Data - Services &amp; Tech - Services (Analytics &amp; Support)"/>
    <d v="2026-05-31T00:00:00"/>
    <d v="2026-12-01T00:00:00"/>
    <s v="Inbound - Current Client (DEPRECATED)"/>
    <s v="São Carlos, BR"/>
    <s v="8"/>
    <s v="12"/>
    <s v="Customer Success"/>
    <x v="1"/>
    <x v="0"/>
  </r>
  <r>
    <s v="OPP-10090"/>
    <s v="ACC-1059"/>
    <s v="Basalt Mining"/>
    <s v="Amanda Rios"/>
    <s v="Basalt Mining - DDM - Media - Managed Media (AOR) - 05/2026"/>
    <s v="Flex/Renewal"/>
    <s v="Negotiation"/>
    <n v="2132708.1"/>
    <s v="BRL"/>
    <n v="303403.38"/>
    <s v="BRL"/>
    <s v="DDM - Media - Managed Media (AOR)"/>
    <d v="2026-05-31T00:00:00"/>
    <d v="2026-12-01T00:00:00"/>
    <s v="Inbound - Current Client (DEPRECATED)"/>
    <s v="São Carlos, BR"/>
    <s v="8"/>
    <s v="12"/>
    <s v="Customer Success"/>
    <x v="1"/>
    <x v="0"/>
  </r>
  <r>
    <s v="OPP-10091"/>
    <s v="ACC-1084"/>
    <s v="Nigella Security"/>
    <s v="Bruno Costa"/>
    <s v="Nigella Security - DDM - Media - Managed Media (AOR) - 02/2026"/>
    <s v="Flex/Renewal"/>
    <s v="Closed Won"/>
    <n v="3156666.46"/>
    <s v="BRL"/>
    <n v="1530024.1"/>
    <s v="BRL"/>
    <s v="DDM - Media - Managed Media (AOR)"/>
    <d v="2026-02-26T00:00:00"/>
    <d v="2026-12-01T00:00:00"/>
    <s v="Inbound - Current Client (DEPRECATED)"/>
    <s v="São Carlos, BR"/>
    <s v="47"/>
    <s v="12"/>
    <s v="Customer Success"/>
    <x v="1"/>
    <x v="3"/>
  </r>
  <r>
    <s v="OPP-10091"/>
    <s v="ACC-1084"/>
    <s v="Nigella Security"/>
    <s v="Bruno Costa"/>
    <s v="Nigella Security - DDM - Media - Creative - 02/2026"/>
    <s v="Flex/Renewal"/>
    <s v="Closed Won"/>
    <n v="3156666.46"/>
    <s v="BRL"/>
    <n v="965866.44"/>
    <s v="BRL"/>
    <s v="DDM - Media - Creative"/>
    <d v="2026-02-26T00:00:00"/>
    <d v="2026-12-01T00:00:00"/>
    <s v="Inbound - Current Client (DEPRECATED)"/>
    <s v="São Carlos, BR"/>
    <s v="47"/>
    <s v="12"/>
    <s v="Customer Success"/>
    <x v="1"/>
    <x v="3"/>
  </r>
  <r>
    <s v="OPP-10091"/>
    <s v="ACC-1084"/>
    <s v="Nigella Security"/>
    <s v="Bruno Costa"/>
    <s v="Nigella Security - DDM - CRM - Other - 02/2026"/>
    <s v="Flex/Renewal"/>
    <s v="Closed Won"/>
    <n v="3156666.46"/>
    <s v="BRL"/>
    <n v="660775.92000000004"/>
    <s v="BRL"/>
    <s v="DDM - CRM - Other"/>
    <d v="2026-02-26T00:00:00"/>
    <d v="2026-12-01T00:00:00"/>
    <s v="Inbound - Current Client (DEPRECATED)"/>
    <s v="São Carlos, BR"/>
    <s v="47"/>
    <s v="12"/>
    <s v="Customer Success"/>
    <x v="1"/>
    <x v="3"/>
  </r>
  <r>
    <s v="OPP-10032"/>
    <s v="ACC-1063"/>
    <s v="Saffron Fashion"/>
    <s v="Ana Silva"/>
    <s v="Saffron Fashion - DDM - Media - Managed Media (AOR) - 01/2026"/>
    <s v="Change Order/Upsell"/>
    <s v="Closed Won"/>
    <n v="722935.92"/>
    <s v="BRL"/>
    <n v="607803.12"/>
    <s v="BRL"/>
    <s v="DDM - Media - Managed Media (AOR)"/>
    <d v="2026-05-01T00:00:00"/>
    <d v="2025-10-29T00:00:00"/>
    <s v="Inbound - Current Client (DEPRECATED)"/>
    <s v="São Carlos, BR"/>
    <s v="99"/>
    <s v="12"/>
    <s v="Customer Success"/>
    <x v="1"/>
    <x v="0"/>
  </r>
  <r>
    <s v="OPP-10032"/>
    <s v="ACC-1063"/>
    <s v="Saffron Fashion"/>
    <s v="Ana Silva"/>
    <s v="Saffron Fashion - DDM - Data - Services &amp; Tech - Services (Analytics &amp; Support) - 01/2026"/>
    <s v="Change Order/Upsell"/>
    <s v="Closed Won"/>
    <n v="722935.92"/>
    <s v="BRL"/>
    <n v="115132.8"/>
    <s v="BRL"/>
    <s v="DDM - Data - Services &amp; Tech - Services (Analytics &amp; Support)"/>
    <d v="2026-05-01T00:00:00"/>
    <d v="2025-10-29T00:00:00"/>
    <s v="Inbound - Current Client (DEPRECATED)"/>
    <s v="São Carlos, BR"/>
    <s v="99"/>
    <s v="12"/>
    <s v="Customer Success"/>
    <x v="1"/>
    <x v="0"/>
  </r>
  <r>
    <s v="OPP-10155"/>
    <s v="ACC-1031"/>
    <s v="Nova Studios"/>
    <s v="Queila Ribeiro"/>
    <s v="Nova Studios - DDM - Media - Managed Media (AOR) - 05/2026"/>
    <s v="Change Order/Upsell"/>
    <s v="Negotiation"/>
    <n v="720000"/>
    <s v="BRL"/>
    <n v="720000"/>
    <s v="BRL"/>
    <s v="DDM - Media - Managed Media (AOR)"/>
    <d v="2026-05-31T00:00:00"/>
    <d v="2026-02-03T00:00:00"/>
    <s v="Inbound - Current Client (DEPRECATED)"/>
    <s v="São Carlos, BR"/>
    <s v="12"/>
    <s v="12"/>
    <s v="Customer Success"/>
    <x v="1"/>
    <x v="0"/>
  </r>
  <r>
    <s v="OPP-10226"/>
    <s v="ACC-1063"/>
    <s v="Saffron Fashion"/>
    <s v="Ana Silva"/>
    <s v="Saffron Fashion - DDM - Media - Managed Media (AOR) - 06/2026"/>
    <s v="Change Order/Upsell"/>
    <s v="Pitching"/>
    <n v="706759.68000000005"/>
    <s v="BRL"/>
    <n v="706759.68000000005"/>
    <s v="BRL"/>
    <s v="DDM - Media - Managed Media (AOR)"/>
    <d v="2026-06-30T00:00:00"/>
    <d v="2026-06-04T00:00:00"/>
    <s v="Existing Client - Account/Growth Activity"/>
    <s v="São Carlos, BR"/>
    <s v="8"/>
    <s v="12"/>
    <s v="Customer Success"/>
    <x v="1"/>
    <x v="1"/>
  </r>
  <r>
    <s v="OPP-10143"/>
    <s v="ACC-1028"/>
    <s v="Xenon Realty"/>
    <s v="Bernardo Castro"/>
    <s v="Xenon Realty - DDM - Media - Creative - 05/2026"/>
    <s v="Change Order/Upsell"/>
    <s v="Negotiation"/>
    <n v="694094.88"/>
    <s v="BRL"/>
    <n v="401671.67999999999"/>
    <s v="BRL"/>
    <s v="DDM - Media - Creative"/>
    <d v="2026-05-31T00:00:00"/>
    <d v="2026-02-19T00:00:00"/>
    <s v="Inbound - Current Client (DEPRECATED)"/>
    <s v="Votorantim, BR"/>
    <s v="33"/>
    <s v="12"/>
    <s v="Customer Success"/>
    <x v="1"/>
    <x v="0"/>
  </r>
  <r>
    <s v="OPP-10143"/>
    <s v="ACC-1028"/>
    <s v="Xenon Realty"/>
    <s v="Bernardo Castro"/>
    <s v="Xenon Realty - DDM - Commerce - Content - 05/2026"/>
    <s v="Change Order/Upsell"/>
    <s v="Negotiation"/>
    <n v="694094.88"/>
    <s v="BRL"/>
    <n v="292423.2"/>
    <s v="BRL"/>
    <s v="DDM - Commerce - Content"/>
    <d v="2026-05-31T00:00:00"/>
    <d v="2026-02-19T00:00:00"/>
    <s v="Inbound - Current Client (DEPRECATED)"/>
    <s v="Votorantim, BR"/>
    <s v="33"/>
    <s v="12"/>
    <s v="Customer Success"/>
    <x v="1"/>
    <x v="0"/>
  </r>
  <r>
    <s v="OPP-10149"/>
    <s v="ACC-1050"/>
    <s v="Dune Ecommerce"/>
    <s v="Queila Ribeiro"/>
    <s v="Dune Ecommerce - Content - Platform - Performance, SEO, CRM &amp; Loyalty - 04/2026"/>
    <s v="Change Order/Upsell"/>
    <s v="Registration"/>
    <n v="646888.19999999995"/>
    <s v="BRL"/>
    <n v="646888.19999999995"/>
    <s v="BRL"/>
    <s v="Content - Platform - Performance, SEO, CRM &amp; Loyalty"/>
    <d v="2026-04-30T00:00:00"/>
    <d v="2026-02-23T00:00:00"/>
    <s v="Inbound - Current Client (DEPRECATED)"/>
    <s v="São Carlos, BR"/>
    <s v="8"/>
    <s v="12"/>
    <s v="Customer Success"/>
    <x v="1"/>
    <x v="5"/>
  </r>
  <r>
    <s v="OPP-10030"/>
    <s v="ACC-1100"/>
    <s v="Ramson Gaming"/>
    <s v="Felipe Lima"/>
    <s v="Ramson Gaming - Content - Platform - Performance, SEO, CRM &amp; Loyalty - 06/2026"/>
    <s v="Project - Not Competitive"/>
    <s v="Pitched"/>
    <n v="645420"/>
    <s v="BRL"/>
    <n v="645420"/>
    <s v="BRL"/>
    <s v="Content - Platform - Performance, SEO, CRM &amp; Loyalty"/>
    <d v="2026-01-06T00:00:00"/>
    <d v="2025-10-27T00:00:00"/>
    <s v="Referral - Internal"/>
    <s v="São Carlos, BR"/>
    <s v="148"/>
    <s v="12"/>
    <s v="Referral"/>
    <x v="0"/>
    <x v="4"/>
  </r>
  <r>
    <s v="OPP-10046"/>
    <s v="ACC-1049"/>
    <s v="Hazel Construction"/>
    <s v="Bernardo Castro"/>
    <s v="Hazel Construction - Content - Social - AOR - 02/2026"/>
    <s v="Change Order/Upsell"/>
    <s v="Closed Won"/>
    <n v="604944.24"/>
    <s v="BRL"/>
    <n v="307704.36"/>
    <s v="BRL"/>
    <s v="Content - Social - AOR"/>
    <d v="2026-02-25T00:00:00"/>
    <d v="2025-11-17T00:00:00"/>
    <s v="Inbound - Current Client (DEPRECATED)"/>
    <s v="São Carlos, BR"/>
    <s v="48"/>
    <s v="12"/>
    <s v="Customer Success"/>
    <x v="1"/>
    <x v="3"/>
  </r>
  <r>
    <s v="OPP-10046"/>
    <s v="ACC-1049"/>
    <s v="Hazel Construction"/>
    <s v="Bernardo Castro"/>
    <s v="Hazel Construction - DDM - Media - Creative - 02/2026"/>
    <s v="Change Order/Upsell"/>
    <s v="Closed Won"/>
    <n v="604944.24"/>
    <s v="BRL"/>
    <n v="179794.32"/>
    <s v="BRL"/>
    <s v="DDM - Media - Creative"/>
    <d v="2026-02-25T00:00:00"/>
    <d v="2025-11-17T00:00:00"/>
    <s v="Inbound - Current Client (DEPRECATED)"/>
    <s v="São Carlos, BR"/>
    <s v="48"/>
    <s v="12"/>
    <s v="Customer Success"/>
    <x v="1"/>
    <x v="3"/>
  </r>
  <r>
    <s v="OPP-10046"/>
    <s v="ACC-1049"/>
    <s v="Hazel Construction"/>
    <s v="Bernardo Castro"/>
    <s v="Hazel Construction - DDM - Media - Managed Media (AOR) - 02/2026"/>
    <s v="Change Order/Upsell"/>
    <s v="Closed Won"/>
    <n v="604944.24"/>
    <s v="BRL"/>
    <n v="117445.56"/>
    <s v="BRL"/>
    <s v="DDM - Media - Managed Media (AOR)"/>
    <d v="2026-02-25T00:00:00"/>
    <d v="2025-11-17T00:00:00"/>
    <s v="Inbound - Current Client (DEPRECATED)"/>
    <s v="São Carlos, BR"/>
    <s v="48"/>
    <s v="12"/>
    <s v="Customer Success"/>
    <x v="1"/>
    <x v="3"/>
  </r>
  <r>
    <s v="OPP-10150"/>
    <s v="ACC-1037"/>
    <s v="Acacia Telecom"/>
    <s v="Bruno Costa"/>
    <s v="Acacia Telecom - DDM - Media - Managed Media (AOR) - 04/2026"/>
    <s v="Change Order/Upsell"/>
    <s v="Registration"/>
    <n v="601599.48"/>
    <s v="BRL"/>
    <n v="474051.84000000003"/>
    <s v="BRL"/>
    <s v="DDM - Media - Managed Media (AOR)"/>
    <d v="2026-04-30T00:00:00"/>
    <d v="2026-02-26T00:00:00"/>
    <s v="Inbound - Current Client (DEPRECATED)"/>
    <s v="São Carlos, BR"/>
    <s v="42"/>
    <s v="12"/>
    <s v="Customer Success"/>
    <x v="1"/>
    <x v="5"/>
  </r>
  <r>
    <s v="OPP-10150"/>
    <s v="ACC-1037"/>
    <s v="Acacia Telecom"/>
    <s v="Bruno Costa"/>
    <s v="Acacia Telecom - DDM - Data - Services &amp; Tech - Services (Analytics &amp; Support) - 04/2026"/>
    <s v="Change Order/Upsell"/>
    <s v="Registration"/>
    <n v="601599.48"/>
    <s v="BRL"/>
    <n v="31909.8"/>
    <s v="BRL"/>
    <s v="DDM - Data - Services &amp; Tech - Services (Analytics &amp; Support)"/>
    <d v="2026-04-30T00:00:00"/>
    <d v="2026-02-26T00:00:00"/>
    <s v="Inbound - Current Client (DEPRECATED)"/>
    <s v="São Carlos, BR"/>
    <s v="42"/>
    <s v="12"/>
    <s v="Customer Success"/>
    <x v="1"/>
    <x v="5"/>
  </r>
  <r>
    <s v="OPP-10150"/>
    <s v="ACC-1037"/>
    <s v="Acacia Telecom"/>
    <s v="Bruno Costa"/>
    <s v="Acacia Telecom - Content - Platform - Performance, SEO, CRM &amp; Loyalty - 04/2026"/>
    <s v="Change Order/Upsell"/>
    <s v="Registration"/>
    <n v="601599.48"/>
    <s v="BRL"/>
    <n v="95637.84"/>
    <s v="BRL"/>
    <s v="Content - Platform - Performance, SEO, CRM &amp; Loyalty"/>
    <d v="2026-04-30T00:00:00"/>
    <d v="2026-02-26T00:00:00"/>
    <s v="Inbound - Current Client (DEPRECATED)"/>
    <s v="São Carlos, BR"/>
    <s v="42"/>
    <s v="12"/>
    <s v="Customer Success"/>
    <x v="1"/>
    <x v="5"/>
  </r>
  <r>
    <s v="OPP-10070"/>
    <s v="ACC-1031"/>
    <s v="Nova Studios"/>
    <s v="Queila Ribeiro"/>
    <s v="Nova Studios - DDM - Media - Creative - 04/2026"/>
    <s v="Change Order/Upsell"/>
    <s v="Registration"/>
    <n v="594455.31000000006"/>
    <s v="BRL"/>
    <n v="206541.72"/>
    <s v="BRL"/>
    <s v="DDM - Media - Creative"/>
    <d v="2026-04-30T00:00:00"/>
    <d v="2025-12-15T00:00:00"/>
    <s v="Inbound - Current Client (DEPRECATED)"/>
    <s v="São Carlos, BR"/>
    <s v="26"/>
    <s v="3"/>
    <s v="Customer Success"/>
    <x v="1"/>
    <x v="5"/>
  </r>
  <r>
    <s v="OPP-10070"/>
    <s v="ACC-1031"/>
    <s v="Nova Studios"/>
    <s v="Queila Ribeiro"/>
    <s v="Nova Studios - DDM - Media - Managed Media (AOR) - 04/2026"/>
    <s v="Change Order/Upsell"/>
    <s v="Registration"/>
    <n v="594455.31000000006"/>
    <s v="BRL"/>
    <n v="387913.59"/>
    <s v="BRL"/>
    <s v="DDM - Media - Managed Media (AOR)"/>
    <d v="2026-04-30T00:00:00"/>
    <d v="2025-12-15T00:00:00"/>
    <s v="Inbound - Current Client (DEPRECATED)"/>
    <s v="São Carlos, BR"/>
    <s v="26"/>
    <s v="3"/>
    <s v="Customer Success"/>
    <x v="1"/>
    <x v="5"/>
  </r>
  <r>
    <s v="OPP-10024"/>
    <s v="ACC-1051"/>
    <s v="Pyrite Fintech"/>
    <s v="Karina Oliveira"/>
    <s v="Pyrite Fintech - DDM - Media - Managed Media (AOR) - 04/2026"/>
    <s v="Change Order/Upsell"/>
    <s v="Registration"/>
    <n v="593400"/>
    <s v="BRL"/>
    <n v="248251.44"/>
    <s v="BRL"/>
    <s v="DDM - Media - Managed Media (AOR)"/>
    <d v="2026-04-30T00:00:00"/>
    <d v="2025-10-10T00:00:00"/>
    <s v="Inbound - Current Client (DEPRECATED)"/>
    <s v="São Carlos, BR"/>
    <s v="127"/>
    <s v="12"/>
    <s v="Customer Success"/>
    <x v="1"/>
    <x v="5"/>
  </r>
  <r>
    <s v="OPP-10024"/>
    <s v="ACC-1051"/>
    <s v="Pyrite Fintech"/>
    <s v="Karina Oliveira"/>
    <s v="Pyrite Fintech - Content - Platform - Performance, SEO, CRM &amp; Loyalty - 04/2026"/>
    <s v="Change Order/Upsell"/>
    <s v="Registration"/>
    <n v="593400"/>
    <s v="BRL"/>
    <n v="345148.56"/>
    <s v="BRL"/>
    <s v="Content - Platform - Performance, SEO, CRM &amp; Loyalty"/>
    <d v="2026-04-30T00:00:00"/>
    <d v="2025-10-10T00:00:00"/>
    <s v="Inbound - Current Client (DEPRECATED)"/>
    <s v="São Carlos, BR"/>
    <s v="127"/>
    <s v="12"/>
    <s v="Customer Success"/>
    <x v="1"/>
    <x v="5"/>
  </r>
  <r>
    <s v="OPP-10102"/>
    <s v="ACC-1063"/>
    <s v="Saffron Fashion"/>
    <s v="Ana Silva"/>
    <s v="Saffron Fashion - DDM - Media - Managed Media (AOR) - 03/2026"/>
    <s v="Flex/Renewal"/>
    <s v="Closed Won"/>
    <n v="299999.59999999998"/>
    <s v="BRL"/>
    <n v="299999.59999999998"/>
    <s v="BRL"/>
    <s v="DDM - Media - Managed Media (AOR)"/>
    <d v="2026-03-23T00:00:00"/>
    <d v="2026-01-22T00:00:00"/>
    <s v="Inbound - Current Client (DEPRECATED)"/>
    <s v="São Carlos, BR"/>
    <s v="22"/>
    <s v="12"/>
    <s v="Customer Success"/>
    <x v="1"/>
    <x v="2"/>
  </r>
  <r>
    <s v="OPP-10038"/>
    <s v="ACC-1046"/>
    <s v="Cypress Air"/>
    <s v="Wanda Borges"/>
    <s v="Cypress Air - DDM - Media - Managed Media (AOR) - 02/2026"/>
    <s v="Project - Competitive"/>
    <s v="Closed Won"/>
    <n v="589446.40999999992"/>
    <s v="BRL"/>
    <n v="548136.6"/>
    <s v="BRL"/>
    <s v="DDM - Media - Managed Media (AOR)"/>
    <d v="2026-02-27T00:00:00"/>
    <d v="2025-11-11T00:00:00"/>
    <s v="Inbound - Marketing (DEPRECATED)"/>
    <s v="Votorantim, BR"/>
    <s v="46"/>
    <s v="12"/>
    <s v="Inbound"/>
    <x v="0"/>
    <x v="3"/>
  </r>
  <r>
    <s v="OPP-10038"/>
    <s v="ACC-1046"/>
    <s v="Cypress Air"/>
    <s v="Wanda Borges"/>
    <s v="Cypress Air - DDM - Data - Services &amp; Tech - Services (Analytics &amp; Support) - 02/2026"/>
    <s v="Project - Competitive"/>
    <s v="Closed Won"/>
    <n v="589446.40999999992"/>
    <s v="BRL"/>
    <n v="41309.81"/>
    <s v="BRL"/>
    <s v="DDM - Data - Services &amp; Tech - Services (Analytics &amp; Support)"/>
    <d v="2026-02-27T00:00:00"/>
    <d v="2025-11-11T00:00:00"/>
    <s v="Inbound - Marketing (DEPRECATED)"/>
    <s v="Votorantim, BR"/>
    <s v="46"/>
    <s v="12"/>
    <s v="Inbound"/>
    <x v="0"/>
    <x v="3"/>
  </r>
  <r>
    <s v="OPP-10176"/>
    <s v="ACC-1102"/>
    <s v="Fjord Travel"/>
    <s v="Daniel Moura"/>
    <s v="Fjord Travel - DDM - Media - Managed Media (AOR) - 05/2026"/>
    <s v="Change Order/Upsell"/>
    <s v="Negotiation"/>
    <n v="585915.63"/>
    <s v="BRL"/>
    <n v="466392.76"/>
    <s v="BRL"/>
    <s v="DDM - Media - Managed Media (AOR)"/>
    <d v="2026-05-31T00:00:00"/>
    <d v="2026-11-03T00:00:00"/>
    <s v="Don't Know/Other (DEPRECATED)"/>
    <s v="Votorantim, BR"/>
    <s v="15"/>
    <s v="12"/>
    <s v="Unknown"/>
    <x v="1"/>
    <x v="0"/>
  </r>
  <r>
    <s v="OPP-10176"/>
    <s v="ACC-1102"/>
    <s v="Fjord Travel"/>
    <s v="Daniel Moura"/>
    <s v="Fjord Travel - DDM - Data - Services &amp; Tech - Services (Analytics &amp; Support) - 05/2026"/>
    <s v="Change Order/Upsell"/>
    <s v="Negotiation"/>
    <n v="585915.63"/>
    <s v="BRL"/>
    <n v="119522.87"/>
    <s v="BRL"/>
    <s v="DDM - Data - Services &amp; Tech - Services (Analytics &amp; Support)"/>
    <d v="2026-05-31T00:00:00"/>
    <d v="2026-11-03T00:00:00"/>
    <s v="Don't Know/Other (DEPRECATED)"/>
    <s v="Votorantim, BR"/>
    <s v="15"/>
    <s v="12"/>
    <s v="Unknown"/>
    <x v="1"/>
    <x v="0"/>
  </r>
  <r>
    <s v="OPP-10240"/>
    <s v="ACC-1075"/>
    <s v="Kestrel Logistics"/>
    <s v="Bernardo Castro"/>
    <s v="Kestrel Logistics - Content - Platform - Website Creation &amp; Production - 05/2026"/>
    <s v="Change Order/Upsell"/>
    <s v="Pitched"/>
    <n v="571781.5"/>
    <s v="BRL"/>
    <n v="571781.5"/>
    <s v="BRL"/>
    <s v="Content - Platform - Website Creation &amp; Production"/>
    <d v="2026-09-05T00:00:00"/>
    <d v="2026-09-04T00:00:00"/>
    <s v="Existing Client - Account/Growth Activity"/>
    <s v="São Carlos, BR"/>
    <s v="4"/>
    <s v="4"/>
    <s v="Customer Success"/>
    <x v="1"/>
    <x v="7"/>
  </r>
  <r>
    <s v="OPP-10254"/>
    <s v="ACC-1064"/>
    <s v="Arrow Construction"/>
    <s v="Daniel Moura"/>
    <s v="Arrow Construction - DDM - Media - Creative - 06/2026"/>
    <s v="Change Order/Upsell"/>
    <s v="Pitching"/>
    <n v="557613.6"/>
    <s v="BRL"/>
    <n v="557613.6"/>
    <s v="BRL"/>
    <s v="DDM - Media - Creative"/>
    <d v="2026-06-30T00:00:00"/>
    <d v="2026-04-13T00:00:00"/>
    <s v="MH Lead (DEPRECATED)"/>
    <s v="São Carlos, BR"/>
    <s v="1"/>
    <s v="12"/>
    <s v="Unknown"/>
    <x v="1"/>
    <x v="1"/>
  </r>
  <r>
    <s v="OPP-10166"/>
    <s v="ACC-1066"/>
    <s v="Magnolia Retail"/>
    <s v="Carla Mendes"/>
    <s v="Magnolia Retail - DDM - Media - Advisory - 05/2026"/>
    <s v="Change Order/Upsell"/>
    <s v="Pitched"/>
    <n v="550700.35"/>
    <s v="BRL"/>
    <n v="550700.35"/>
    <s v="BRL"/>
    <s v="DDM - Media - Advisory"/>
    <d v="2026-05-31T00:00:00"/>
    <d v="2026-06-03T00:00:00"/>
    <s v="Inbound - Current Client (DEPRECATED)"/>
    <s v="São Paulo, BR"/>
    <s v="39"/>
    <s v="6"/>
    <s v="Customer Success"/>
    <x v="1"/>
    <x v="0"/>
  </r>
  <r>
    <s v="OPP-10089"/>
    <s v="ACC-1105"/>
    <s v="Velvet Cosmetics"/>
    <s v="Felipe Lima"/>
    <s v="Velvet Cosmetics - Content - Platform - Performance, SEO, CRM &amp; Loyalty - 06/2026"/>
    <s v="Project - Not Competitive"/>
    <s v="Pitched"/>
    <n v="520000"/>
    <s v="BRL"/>
    <n v="520000"/>
    <s v="BRL"/>
    <s v="Content - Platform - Performance, SEO, CRM &amp; Loyalty"/>
    <d v="2026-01-06T00:00:00"/>
    <d v="2026-12-01T00:00:00"/>
    <s v="Don't Know/Other (DEPRECATED)"/>
    <s v="São Carlos, BR"/>
    <s v="64"/>
    <s v="2"/>
    <s v="Unknown"/>
    <x v="0"/>
    <x v="4"/>
  </r>
  <r>
    <s v="OPP-10098"/>
    <s v="ACC-1031"/>
    <s v="Nova Studios"/>
    <s v="Queila Ribeiro"/>
    <s v="Nova Studios - DDM - Commerce - Content - 05/2026"/>
    <s v="Change Order/Upsell"/>
    <s v="Registration"/>
    <n v="500000"/>
    <s v="BRL"/>
    <n v="500000"/>
    <s v="BRL"/>
    <s v="DDM - Commerce - Content"/>
    <d v="2026-05-31T00:00:00"/>
    <d v="2026-01-19T00:00:00"/>
    <s v="Inbound - Current Client (DEPRECATED)"/>
    <s v="São Carlos, BR"/>
    <s v="29"/>
    <s v="6"/>
    <s v="Customer Success"/>
    <x v="1"/>
    <x v="0"/>
  </r>
  <r>
    <s v="OPP-10194"/>
    <s v="ACC-1083"/>
    <s v="Umber Design"/>
    <s v="Xavier Correia"/>
    <s v="Umber Design - Content - Platform - Website Creation &amp; Production - 05/2026"/>
    <s v="Project - Not Competitive"/>
    <s v="Pitched"/>
    <n v="500000"/>
    <s v="BRL"/>
    <n v="500000"/>
    <s v="BRL"/>
    <s v="Content - Platform - Website Creation &amp; Production"/>
    <d v="2026-05-31T00:00:00"/>
    <d v="2026-03-23T00:00:00"/>
    <s v="Marketing - Lead Scoring/Nurturing"/>
    <s v="São Carlos, BR"/>
    <s v="13"/>
    <s v="12"/>
    <s v="Unknown"/>
    <x v="0"/>
    <x v="0"/>
  </r>
  <r>
    <s v="OPP-10092"/>
    <s v="ACC-1029"/>
    <s v="Zephyr Telecom"/>
    <s v="Ana Silva"/>
    <s v="Zephyr Telecom - DDM - Media - Managed Media (AOR) - 03/2026"/>
    <s v="Change Order/Upsell"/>
    <s v="Closed Won"/>
    <n v="492000"/>
    <s v="BRL"/>
    <n v="492000"/>
    <s v="BRL"/>
    <s v="DDM - Media - Managed Media (AOR)"/>
    <d v="2026-11-03T00:00:00"/>
    <d v="2026-01-13T00:00:00"/>
    <s v="Inbound - Current Client (DEPRECATED)"/>
    <s v="São Carlos, BR"/>
    <s v="34"/>
    <s v="12"/>
    <s v="Customer Success"/>
    <x v="1"/>
    <x v="9"/>
  </r>
  <r>
    <s v="OPP-10208"/>
    <s v="ACC-1053"/>
    <s v="Hemlock Insurance"/>
    <s v="Bernardo Castro"/>
    <s v="Hemlock Insurance - Content - Platform - Performance, SEO, CRM &amp; Loyalty - 05/2026"/>
    <s v="Change Order/Upsell"/>
    <s v="Pitched"/>
    <n v="492000"/>
    <s v="BRL"/>
    <n v="492000"/>
    <s v="BRL"/>
    <s v="Content - Platform - Performance, SEO, CRM &amp; Loyalty"/>
    <d v="2026-05-31T00:00:00"/>
    <d v="2026-03-30T00:00:00"/>
    <s v="Inbound - Current Client (DEPRECATED) "/>
    <s v="São Carlos, BR"/>
    <s v="5"/>
    <s v="12"/>
    <s v="Customer Success"/>
    <x v="1"/>
    <x v="0"/>
  </r>
  <r>
    <s v="OPP-10007"/>
    <s v="ACC-1031"/>
    <s v="Nova Studios"/>
    <s v="Queila Ribeiro"/>
    <s v="Nova Studios - Content - Platform - Website Creation &amp; Production - 01/2026"/>
    <s v="Change Order/Upsell"/>
    <s v="Closed Won"/>
    <n v="490928.88"/>
    <s v="BRL"/>
    <n v="490928.88"/>
    <s v="BRL"/>
    <s v="Content - Platform - Website Creation &amp; Production"/>
    <d v="2026-09-01T00:00:00"/>
    <d v="2025-08-21T00:00:00"/>
    <s v="Inbound - Current Client (DEPRECATED)"/>
    <s v="São Carlos, BR"/>
    <s v="95"/>
    <s v="12"/>
    <s v="Customer Success"/>
    <x v="1"/>
    <x v="7"/>
  </r>
  <r>
    <s v="OPP-10112"/>
    <s v="ACC-1042"/>
    <s v="Wisteria Publishing"/>
    <s v="Amanda Rios"/>
    <s v="Wisteria Publishing - DDM - Data - Services &amp; Tech - Platforms Reselling - 02/2026"/>
    <s v="Flex/Renewal"/>
    <s v="Closed Won"/>
    <n v="664386.76"/>
    <s v="BRL"/>
    <n v="664386.76"/>
    <s v="BRL"/>
    <s v="DDM - Data - Services &amp; Tech - Platforms Reselling"/>
    <d v="2026-02-26T00:00:00"/>
    <d v="2026-01-29T00:00:00"/>
    <s v="Inbound - Current Client (DEPRECATED)"/>
    <s v="São Paulo, BR"/>
    <s v="47"/>
    <s v="12"/>
    <s v="Customer Success"/>
    <x v="1"/>
    <x v="3"/>
  </r>
  <r>
    <s v="OPP-10223"/>
    <s v="ACC-1052"/>
    <s v="Gravel Manufacturing"/>
    <s v="Karina Oliveira"/>
    <s v="Gravel Manufacturing - DDM - Commerce - Content - 06/2026"/>
    <s v="Change Order/Upsell"/>
    <s v="Pitched"/>
    <n v="477489.48"/>
    <s v="BRL"/>
    <n v="477489.48"/>
    <s v="BRL"/>
    <s v="DDM - Commerce - Content"/>
    <d v="2026-06-30T00:00:00"/>
    <d v="2026-02-04T00:00:00"/>
    <s v="MH Lead (DEPRECATED)"/>
    <s v="São Carlos, BR"/>
    <s v="4"/>
    <s v="12"/>
    <s v="Unknown"/>
    <x v="1"/>
    <x v="1"/>
  </r>
  <r>
    <s v="OPP-10114"/>
    <s v="ACC-1031"/>
    <s v="Nova Studios"/>
    <s v="Queila Ribeiro"/>
    <s v="Nova Studios - DDM - Media - Activation - Platforms Reselling - 04/2026"/>
    <s v="Flex/Renewal"/>
    <s v="Registration"/>
    <n v="500000"/>
    <s v="BRL"/>
    <n v="185000"/>
    <s v="BRL"/>
    <s v="DDM - Media - Activation - Platforms Reselling"/>
    <d v="2026-04-30T00:00:00"/>
    <d v="2026-01-30T00:00:00"/>
    <s v="Inbound - Current Client (DEPRECATED)"/>
    <s v="São Paulo, BR"/>
    <s v="7"/>
    <s v="12"/>
    <s v="Customer Success"/>
    <x v="1"/>
    <x v="5"/>
  </r>
  <r>
    <s v="OPP-10114"/>
    <s v="ACC-1031"/>
    <s v="Nova Studios"/>
    <s v="Queila Ribeiro"/>
    <s v="Nova Studios - DDM - Media - Activation - Platforms Reselling - 04/2026"/>
    <s v="Flex/Renewal"/>
    <s v="Registration"/>
    <n v="500000"/>
    <s v="BRL"/>
    <n v="315000"/>
    <s v="BRL"/>
    <s v="DDM - Media - Activation - Platforms Reselling"/>
    <d v="2026-04-30T00:00:00"/>
    <d v="2026-01-30T00:00:00"/>
    <s v="Inbound - Current Client (DEPRECATED)"/>
    <s v="São Paulo, BR"/>
    <s v="7"/>
    <s v="12"/>
    <s v="Customer Success"/>
    <x v="1"/>
    <x v="5"/>
  </r>
  <r>
    <s v="OPP-10145"/>
    <s v="ACC-1126"/>
    <s v="Company 125"/>
    <s v="Xavier Correia"/>
    <s v="Company 125 - DDM - Media - Managed Media (AOR) - 04/2026"/>
    <s v="Project - Competitive"/>
    <s v="Negotiation"/>
    <n v="456000"/>
    <s v="BRL"/>
    <n v="420000"/>
    <s v="BRL"/>
    <s v="DDM - Media - Managed Media (AOR)"/>
    <d v="2026-04-30T00:00:00"/>
    <d v="2026-02-20T00:00:00"/>
    <s v="Referral - Personal"/>
    <s v="Votorantim, BR"/>
    <s v="13"/>
    <s v="12"/>
    <s v="Referral"/>
    <x v="0"/>
    <x v="5"/>
  </r>
  <r>
    <s v="OPP-10145"/>
    <s v="ACC-1126"/>
    <s v="Company 125"/>
    <s v="Xavier Correia"/>
    <s v="Company 125 - DDM - Media - Creative - 04/2026"/>
    <s v="Project - Competitive"/>
    <s v="Negotiation"/>
    <n v="456000"/>
    <s v="BRL"/>
    <n v="36000"/>
    <s v="BRL"/>
    <s v="DDM - Media - Creative"/>
    <d v="2026-04-30T00:00:00"/>
    <d v="2026-02-20T00:00:00"/>
    <s v="Referral - Personal"/>
    <s v="Votorantim, BR"/>
    <s v="13"/>
    <s v="12"/>
    <s v="Referral"/>
    <x v="0"/>
    <x v="5"/>
  </r>
  <r>
    <s v="OPP-10184"/>
    <s v="ACC-1121"/>
    <s v="Company 120"/>
    <s v="Lucas Almeida"/>
    <s v="Company 120 - DDM - Data - Consulting - 05/2026"/>
    <s v="Project - Not Competitive"/>
    <s v="Qualified"/>
    <n v="427005.1"/>
    <s v="BRL"/>
    <n v="427005.1"/>
    <s v="BRL"/>
    <s v="DDM - Data - Consulting"/>
    <d v="2026-05-25T00:00:00"/>
    <d v="2026-03-16T00:00:00"/>
    <s v="Referral - Internal"/>
    <s v="São Paulo, BR"/>
    <s v="15"/>
    <s v="8"/>
    <s v="Referral"/>
    <x v="0"/>
    <x v="0"/>
  </r>
  <r>
    <s v="OPP-10234"/>
    <s v="ACC-1029"/>
    <s v="Zephyr Telecom"/>
    <s v="Ana Silva"/>
    <s v="Zephyr Telecom - Content - Social - Project - 07/2026"/>
    <s v="Change Order/Upsell"/>
    <s v="Pitched"/>
    <n v="414939.84"/>
    <s v="BRL"/>
    <n v="414939.84"/>
    <s v="BRL"/>
    <s v="Content - Social - Project"/>
    <d v="2026-07-31T00:00:00"/>
    <d v="2026-09-04T00:00:00"/>
    <s v="MH Lead (DEPRECATED)"/>
    <s v="São Carlos, BR"/>
    <s v="1"/>
    <s v="12"/>
    <s v="Unknown"/>
    <x v="1"/>
    <x v="8"/>
  </r>
  <r>
    <s v="OPP-10093"/>
    <s v="ACC-1110"/>
    <s v="Glacier Energy"/>
    <s v="Lucas Almeida"/>
    <s v="Glacier Energy - DDM - Media - Managed Media (AOR) - 06/2026"/>
    <s v="Project - Competitive"/>
    <s v="Pitched"/>
    <n v="391800"/>
    <s v="BRL"/>
    <n v="391800"/>
    <s v="BRL"/>
    <s v="DDM - Media - Managed Media (AOR)"/>
    <d v="2026-01-06T00:00:00"/>
    <d v="2026-01-13T00:00:00"/>
    <s v="Referral - Internal"/>
    <s v="Votorantim, BR"/>
    <s v="64"/>
    <s v="12"/>
    <s v="Referral"/>
    <x v="0"/>
    <x v="4"/>
  </r>
  <r>
    <s v="OPP-10249"/>
    <s v="ACC-1093"/>
    <s v="Moringa Health"/>
    <s v="Nicolas Teixeira"/>
    <s v="Moringa Health - DDM - Media - Managed Media (AOR) - 06/2026"/>
    <s v="Project - Competitive"/>
    <s v="Qualified"/>
    <n v="384000"/>
    <s v="BRL"/>
    <n v="384000"/>
    <s v="BRL"/>
    <s v="DDM - Media - Managed Media (AOR)"/>
    <d v="2026-06-30T00:00:00"/>
    <d v="2026-10-04T00:00:00"/>
    <s v="Marketing - Lead Scoring/Nurturing"/>
    <s v="São Carlos, BR"/>
    <s v="4"/>
    <s v="24"/>
    <s v="Unknown"/>
    <x v="0"/>
    <x v="1"/>
  </r>
  <r>
    <s v="OPP-10231"/>
    <s v="ACC-1122"/>
    <s v="Company 121"/>
    <s v="Joao Pereira"/>
    <s v="Company 121 - DDM - Media - Managed Media (AOR) - 05/2026"/>
    <s v="Project - Competitive"/>
    <s v="Pitched"/>
    <n v="374000"/>
    <s v="BRL"/>
    <n v="354000"/>
    <s v="BRL"/>
    <s v="DDM - Media - Managed Media (AOR)"/>
    <d v="2026-08-05T00:00:00"/>
    <d v="2026-08-04T00:00:00"/>
    <s v="Referral - Personal"/>
    <s v="São Carlos, BR"/>
    <s v="4"/>
    <s v="12"/>
    <s v="Referral"/>
    <x v="0"/>
    <x v="11"/>
  </r>
  <r>
    <s v="OPP-10231"/>
    <s v="ACC-1122"/>
    <s v="Company 121"/>
    <s v="Joao Pereira"/>
    <s v="Company 121 - DDM - Data - Services &amp; Tech - Services (Analytics &amp; Support) - 05/2026"/>
    <s v="Project - Competitive"/>
    <s v="Pitched"/>
    <n v="374000"/>
    <s v="BRL"/>
    <n v="20000"/>
    <s v="BRL"/>
    <s v="DDM - Data - Services &amp; Tech - Services (Analytics &amp; Support)"/>
    <d v="2026-08-05T00:00:00"/>
    <d v="2026-08-04T00:00:00"/>
    <s v="Referral - Personal"/>
    <s v="São Carlos, BR"/>
    <s v="4"/>
    <s v="12"/>
    <s v="Referral"/>
    <x v="0"/>
    <x v="11"/>
  </r>
  <r>
    <s v="OPP-10137"/>
    <s v="ACC-1068"/>
    <s v="Poppy Media"/>
    <s v="Nicolas Teixeira"/>
    <s v="Poppy Media - DDM - Media - Managed Media (AOR) - 05/2026"/>
    <s v="Project - Not Competitive"/>
    <s v="Pitched"/>
    <n v="372818.4"/>
    <s v="BRL"/>
    <n v="372818.4"/>
    <s v="BRL"/>
    <s v="DDM - Media - Managed Media (AOR)"/>
    <d v="2026-05-29T00:00:00"/>
    <d v="2026-02-13T00:00:00"/>
    <s v="Inbound - Website (DEPRECATED)"/>
    <s v="São Carlos, BR"/>
    <s v="43"/>
    <s v="12"/>
    <s v="Inbound"/>
    <x v="0"/>
    <x v="0"/>
  </r>
  <r>
    <s v="OPP-10020"/>
    <s v="ACC-1041"/>
    <s v="Linden Foods"/>
    <s v="Amanda Rios"/>
    <s v="Linden Foods - DDM - Commerce - Content - 07/2026"/>
    <s v="Change Order/Upsell"/>
    <s v="Negotiation"/>
    <n v="366989.64"/>
    <s v="BRL"/>
    <n v="366989.64"/>
    <s v="BRL"/>
    <s v="DDM - Commerce - Content"/>
    <d v="2026-07-31T00:00:00"/>
    <d v="2025-02-10T00:00:00"/>
    <s v="Inbound - Current Client (DEPRECATED)"/>
    <s v="São Carlos, BR"/>
    <s v="26"/>
    <s v="12"/>
    <s v="Customer Success"/>
    <x v="1"/>
    <x v="8"/>
  </r>
  <r>
    <s v="OPP-10125"/>
    <s v="ACC-1055"/>
    <s v="Olive HoSão Paulo, BRitality"/>
    <s v="Xavier Correia"/>
    <s v="Olive HoSão Paulo, BRitality - DDM - Media - Activation - Platforms Reselling - 04/2026"/>
    <s v="Project - Not Competitive"/>
    <s v="Negotiation"/>
    <n v="362880"/>
    <s v="BRL"/>
    <n v="48000"/>
    <s v="BRL"/>
    <s v="DDM - Media - Activation - Platforms Reselling"/>
    <d v="2026-04-30T00:00:00"/>
    <d v="2026-06-02T00:00:00"/>
    <s v="Referral - Partner - Google Cloud"/>
    <s v="São Carlos, BR"/>
    <s v="36"/>
    <s v="12"/>
    <s v="Referral"/>
    <x v="0"/>
    <x v="5"/>
  </r>
  <r>
    <s v="OPP-10125"/>
    <s v="ACC-1055"/>
    <s v="Olive HoSão Paulo, BRitality"/>
    <s v="Xavier Correia"/>
    <s v="Olive HoSão Paulo, BRitality - DDM - Media - Managed Media (AOR) - 04/2026"/>
    <s v="Project - Not Competitive"/>
    <s v="Negotiation"/>
    <n v="362880"/>
    <s v="BRL"/>
    <n v="314880"/>
    <s v="BRL"/>
    <s v="DDM - Media - Managed Media (AOR)"/>
    <d v="2026-04-30T00:00:00"/>
    <d v="2026-06-02T00:00:00"/>
    <s v="Referral - Partner - Google Cloud"/>
    <s v="São Carlos, BR"/>
    <s v="36"/>
    <s v="12"/>
    <s v="Referral"/>
    <x v="0"/>
    <x v="5"/>
  </r>
  <r>
    <s v="OPP-10109"/>
    <s v="ACC-1080"/>
    <s v="Lavender Publishing"/>
    <s v="Xavier Correia"/>
    <s v="Lavender Publishing - Content - Social - AOR - 04/2026"/>
    <s v="Project - Competitive"/>
    <s v="Registration"/>
    <n v="360655.14"/>
    <s v="BRL"/>
    <n v="63055.14"/>
    <s v="BRL"/>
    <s v="Content - Social - AOR"/>
    <d v="2026-04-13T00:00:00"/>
    <d v="2026-01-23T00:00:00"/>
    <s v="Prospecting - Current Client (DEPRECATED)"/>
    <s v="Votorantim, BR"/>
    <s v="46"/>
    <s v="12"/>
    <s v="Customer Success"/>
    <x v="0"/>
    <x v="5"/>
  </r>
  <r>
    <s v="OPP-10109"/>
    <s v="ACC-1080"/>
    <s v="Lavender Publishing"/>
    <s v="Xavier Correia"/>
    <s v="Lavender Publishing - DDM - Media - Managed Media (AOR) - 04/2026"/>
    <s v="Project - Competitive"/>
    <s v="Registration"/>
    <n v="360655.14"/>
    <s v="BRL"/>
    <n v="297600"/>
    <s v="BRL"/>
    <s v="DDM - Media - Managed Media (AOR)"/>
    <d v="2026-04-13T00:00:00"/>
    <d v="2026-01-23T00:00:00"/>
    <s v="Prospecting - Current Client (DEPRECATED)"/>
    <s v="Votorantim, BR"/>
    <s v="46"/>
    <s v="12"/>
    <s v="Customer Success"/>
    <x v="0"/>
    <x v="5"/>
  </r>
  <r>
    <s v="OPP-10061"/>
    <s v="ACC-1004"/>
    <s v="Harbor Grocers"/>
    <s v="Carla Mendes"/>
    <s v="Harbor Grocers - DDM - Media - Creative - 01/2026"/>
    <s v="Change Order/Upsell"/>
    <s v="Closed Won"/>
    <n v="358921.88"/>
    <s v="BRL"/>
    <n v="107937.60000000001"/>
    <s v="BRL"/>
    <s v="DDM - Media - Creative"/>
    <d v="2026-01-14T00:00:00"/>
    <d v="2025-04-12T00:00:00"/>
    <s v="Inbound - Current Client (DEPRECATED)"/>
    <s v="São Carlos, BR"/>
    <s v="90"/>
    <s v="12"/>
    <s v="Customer Success"/>
    <x v="1"/>
    <x v="4"/>
  </r>
  <r>
    <s v="OPP-10061"/>
    <s v="ACC-1004"/>
    <s v="Harbor Grocers"/>
    <s v="Carla Mendes"/>
    <s v="Harbor Grocers - DDM - Commerce - Content - 01/2026"/>
    <s v="Change Order/Upsell"/>
    <s v="Closed Won"/>
    <n v="358921.88"/>
    <s v="BRL"/>
    <n v="197384.28"/>
    <s v="BRL"/>
    <s v="DDM - Commerce - Content"/>
    <d v="2026-01-14T00:00:00"/>
    <d v="2025-04-12T00:00:00"/>
    <s v="Inbound - Current Client (DEPRECATED) "/>
    <s v="São Carlos, BR"/>
    <s v="90"/>
    <s v="12"/>
    <s v="Customer Success"/>
    <x v="1"/>
    <x v="4"/>
  </r>
  <r>
    <s v="OPP-10061"/>
    <s v="ACC-1004"/>
    <s v="Harbor Grocers"/>
    <s v="Carla Mendes"/>
    <s v="Harbor Grocers - DDM - Data - Services &amp; Tech - Services (Analytics &amp; Support) - 01/2026"/>
    <s v="Change Order/Upsell"/>
    <s v="Closed Won"/>
    <n v="358921.88"/>
    <s v="BRL"/>
    <n v="53600"/>
    <s v="BRL"/>
    <s v="DDM - Data - Services &amp; Tech - Services (Analytics &amp; Support)"/>
    <d v="2026-01-14T00:00:00"/>
    <d v="2025-04-12T00:00:00"/>
    <s v="Inbound - Current Client (DEPRECATED)"/>
    <s v="São Carlos, BR"/>
    <s v="90"/>
    <s v="12"/>
    <s v="Customer Success"/>
    <x v="1"/>
    <x v="4"/>
  </r>
  <r>
    <s v="OPP-10158"/>
    <s v="ACC-1098"/>
    <s v="Delta Streaming"/>
    <s v="Karina Oliveira"/>
    <s v="Delta Streaming - Content - Platform - Website Creation &amp; Production - 04/2026"/>
    <s v="Change Order/Upsell"/>
    <s v="Pitched"/>
    <n v="322882"/>
    <s v="BRL"/>
    <n v="322882"/>
    <s v="BRL"/>
    <s v="Content - Platform - Website Creation &amp; Production"/>
    <d v="2026-04-27T00:00:00"/>
    <d v="2026-02-03T00:00:00"/>
    <s v="Inbound - Current Client (DEPRECATED)"/>
    <s v="São Carlos, BR"/>
    <s v="36"/>
    <s v="5"/>
    <s v="Customer Success"/>
    <x v="1"/>
    <x v="5"/>
  </r>
  <r>
    <s v="OPP-10195"/>
    <s v="ACC-1066"/>
    <s v="Magnolia Retail"/>
    <s v="Carla Mendes"/>
    <s v="Magnolia Retail - DDM - Commerce - Content - 04/2026"/>
    <s v="Change Order/Upsell"/>
    <s v="Negotiation"/>
    <n v="308940"/>
    <s v="BRL"/>
    <n v="308940"/>
    <s v="BRL"/>
    <s v="DDM - Commerce - Content"/>
    <d v="2026-04-30T00:00:00"/>
    <d v="2026-03-23T00:00:00"/>
    <s v="Inbound - Current Client (DEPRECATED)"/>
    <s v="São Carlos, BR"/>
    <s v="13"/>
    <s v="12"/>
    <s v="Customer Success"/>
    <x v="1"/>
    <x v="5"/>
  </r>
  <r>
    <s v="OPP-10065"/>
    <s v="ACC-1092"/>
    <s v="Umbra Gaming"/>
    <s v="Joao Pereira"/>
    <s v="Umbra Gaming - Content - Social - AOR - 01/2026"/>
    <s v="Project - Competitive"/>
    <s v="Closed Won"/>
    <n v="300000"/>
    <s v="BRL"/>
    <n v="300000"/>
    <s v="BRL"/>
    <s v="Content - Social - AOR"/>
    <d v="2026-12-01T00:00:00"/>
    <d v="2025-08-12T00:00:00"/>
    <s v="Referral - Personal "/>
    <s v="Votorantim, BR"/>
    <s v="90"/>
    <s v="12"/>
    <s v="Referral"/>
    <x v="0"/>
    <x v="6"/>
  </r>
  <r>
    <s v="OPP-10126"/>
    <s v="ACC-1009"/>
    <s v="Usnea Apparel"/>
    <s v="Lucas Almeida"/>
    <s v="Usnea Apparel - DDM - Media - Activation - Platforms Reselling - 04/2026"/>
    <s v="Change Order/Upsell"/>
    <s v="Pitched"/>
    <n v="300000"/>
    <s v="BRL"/>
    <n v="300000"/>
    <s v="BRL"/>
    <s v="DDM - Media - Activation - Platforms Reselling"/>
    <d v="2026-04-27T00:00:00"/>
    <d v="2026-09-02T00:00:00"/>
    <s v="Inbound - Current Client (DEPRECATED) "/>
    <s v="São Paulo, BR"/>
    <s v="64"/>
    <s v="12"/>
    <s v="Customer Success"/>
    <x v="1"/>
    <x v="5"/>
  </r>
  <r>
    <s v="OPP-10094"/>
    <s v="ACC-1029"/>
    <s v="Zephyr Telecom"/>
    <s v="Ana Silva"/>
    <s v="Zephyr Telecom - Content - Platform - Performance, SEO, CRM &amp; Loyalty - 03/2026"/>
    <s v="Change Order/Upsell"/>
    <s v="Closed Won"/>
    <n v="297244.79999999999"/>
    <s v="BRL"/>
    <n v="297244.79999999999"/>
    <s v="BRL"/>
    <s v="Content - Platform - Performance, SEO, CRM &amp; Loyalty"/>
    <d v="2026-03-24T00:00:00"/>
    <d v="2026-01-15T00:00:00"/>
    <s v="Inbound - Current Client (DEPRECATED)"/>
    <s v="São Carlos, BR"/>
    <s v="21"/>
    <s v="12"/>
    <s v="Customer Success"/>
    <x v="1"/>
    <x v="2"/>
  </r>
  <r>
    <s v="OPP-10183"/>
    <s v="ACC-1050"/>
    <s v="Dune Ecommerce"/>
    <s v="Queila Ribeiro"/>
    <s v="Dune Ecommerce - Content - Platform - Website Creation &amp; Production - 05/2026"/>
    <s v="Change Order/Upsell"/>
    <s v="Negotiation"/>
    <n v="296000"/>
    <s v="BRL"/>
    <n v="110000"/>
    <s v="BRL"/>
    <s v="Content - Platform - Website Creation &amp; Production"/>
    <d v="2026-05-31T00:00:00"/>
    <d v="2026-03-14T00:00:00"/>
    <s v="Inbound - Current Client (DEPRECATED)"/>
    <s v="São Carlos, BR"/>
    <s v="13"/>
    <s v="6"/>
    <s v="Customer Success"/>
    <x v="1"/>
    <x v="0"/>
  </r>
  <r>
    <s v="OPP-10183"/>
    <s v="ACC-1050"/>
    <s v="Dune Ecommerce"/>
    <s v="Queila Ribeiro"/>
    <s v="Dune Ecommerce - Content - Platform - Performance, SEO, CRM &amp; Loyalty - 05/2026"/>
    <s v="Change Order/Upsell"/>
    <s v="Negotiation"/>
    <n v="296000"/>
    <s v="BRL"/>
    <n v="166000"/>
    <s v="BRL"/>
    <s v="Content - Platform - Performance, SEO, CRM &amp; Loyalty"/>
    <d v="2026-05-31T00:00:00"/>
    <d v="2026-03-14T00:00:00"/>
    <s v="Inbound - Current Client (DEPRECATED)"/>
    <s v="São Carlos, BR"/>
    <s v="13"/>
    <s v="6"/>
    <s v="Customer Success"/>
    <x v="1"/>
    <x v="0"/>
  </r>
  <r>
    <s v="OPP-10183"/>
    <s v="ACC-1050"/>
    <s v="Dune Ecommerce"/>
    <s v="Queila Ribeiro"/>
    <s v="Dune Ecommerce - DDM - Data - Services &amp; Tech - Services (Analytics &amp; Support) - 05/2026"/>
    <s v="Change Order/Upsell"/>
    <s v="Negotiation"/>
    <n v="296000"/>
    <s v="BRL"/>
    <n v="20000"/>
    <s v="BRL"/>
    <s v="DDM - Data - Services &amp; Tech - Services (Analytics &amp; Support)"/>
    <d v="2026-05-31T00:00:00"/>
    <d v="2026-03-14T00:00:00"/>
    <s v="Inbound - Current Client (DEPRECATED)"/>
    <s v="São Carlos, BR"/>
    <s v="13"/>
    <s v="6"/>
    <s v="Customer Success"/>
    <x v="1"/>
    <x v="0"/>
  </r>
  <r>
    <s v="OPP-10054"/>
    <s v="ACC-1019"/>
    <s v="Thistle Tech"/>
    <s v="Amanda Rios"/>
    <s v="Thistle Tech - DDM - Data - Services &amp; Tech - Services (Analytics &amp; Support) - 01/2026"/>
    <s v="Change Order/Upsell"/>
    <s v="Closed Won"/>
    <n v="294537.34999999998"/>
    <s v="BRL"/>
    <n v="294537.34999999998"/>
    <s v="BRL"/>
    <s v="DDM - Data - Services &amp; Tech - Services (Analytics &amp; Support)"/>
    <d v="2026-01-30T00:00:00"/>
    <d v="2025-11-28T00:00:00"/>
    <s v="Inbound - Current Client (DEPRECATED)"/>
    <s v="São Carlos, BR"/>
    <s v="74"/>
    <s v="5"/>
    <s v="Customer Success"/>
    <x v="1"/>
    <x v="4"/>
  </r>
  <r>
    <s v="OPP-10035"/>
    <s v="ACC-1010"/>
    <s v="Juniper Data"/>
    <s v="Lucas Almeida"/>
    <s v="Juniper Data - DDM - Data - Services &amp; Tech - Services (Analytics &amp; Support) - 06/2026"/>
    <s v="Project - Competitive"/>
    <s v="Negotiation"/>
    <n v="286464"/>
    <s v="BRL"/>
    <n v="12000"/>
    <s v="BRL"/>
    <s v="DDM - Data - Services &amp; Tech - Services (Analytics &amp; Support)"/>
    <d v="2026-06-29T00:00:00"/>
    <d v="2025-03-11T00:00:00"/>
    <s v="Industry Event"/>
    <s v="São Carlos, BR"/>
    <s v="134"/>
    <s v="24"/>
    <s v="Event"/>
    <x v="0"/>
    <x v="1"/>
  </r>
  <r>
    <s v="OPP-10035"/>
    <s v="ACC-1010"/>
    <s v="Juniper Data"/>
    <s v="Lucas Almeida"/>
    <s v="Juniper Data - Content - Platform - Performance, SEO, CRM &amp; Loyalty - 06/2026"/>
    <s v="Project - Competitive"/>
    <s v="Negotiation"/>
    <n v="286464"/>
    <s v="BRL"/>
    <n v="12000"/>
    <s v="BRL"/>
    <s v="Content - Platform - Performance, SEO, CRM &amp; Loyalty"/>
    <d v="2026-06-29T00:00:00"/>
    <d v="2025-03-11T00:00:00"/>
    <s v="Industry Event"/>
    <s v="São Carlos, BR"/>
    <s v="134"/>
    <s v="24"/>
    <s v="Event"/>
    <x v="0"/>
    <x v="1"/>
  </r>
  <r>
    <s v="OPP-10035"/>
    <s v="ACC-1010"/>
    <s v="Juniper Data"/>
    <s v="Lucas Almeida"/>
    <s v="Juniper Data - DDM - Media - Managed Media (AOR) - 06/2026"/>
    <s v="Project - Competitive"/>
    <s v="Negotiation"/>
    <n v="286464"/>
    <s v="BRL"/>
    <n v="12000"/>
    <s v="BRL"/>
    <s v="DDM - Media - Managed Media (AOR)"/>
    <d v="2026-06-29T00:00:00"/>
    <d v="2025-03-11T00:00:00"/>
    <s v="Industry Event"/>
    <s v="São Carlos, BR"/>
    <s v="134"/>
    <s v="24"/>
    <s v="Event"/>
    <x v="0"/>
    <x v="1"/>
  </r>
  <r>
    <s v="OPP-10035"/>
    <s v="ACC-1010"/>
    <s v="Juniper Data"/>
    <s v="Lucas Almeida"/>
    <s v="Juniper Data - DDM - CRM - Salesforce Marketing Cloud - 06/2026"/>
    <s v="Project - Competitive"/>
    <s v="Negotiation"/>
    <n v="286464"/>
    <s v="BRL"/>
    <n v="250464"/>
    <s v="BRL"/>
    <s v="DDM - CRM - Salesforce Marketing Cloud"/>
    <d v="2026-06-29T00:00:00"/>
    <d v="2025-03-11T00:00:00"/>
    <s v="Industry Event"/>
    <s v="São Carlos, BR"/>
    <s v="134"/>
    <s v="24"/>
    <s v="Event"/>
    <x v="0"/>
    <x v="1"/>
  </r>
  <r>
    <s v="OPP-10135"/>
    <s v="ACC-1030"/>
    <s v="Vertex Apparel"/>
    <s v="Carla Mendes"/>
    <s v="Vertex Apparel - DDM - Media - Managed Media (AOR) - 04/2026"/>
    <s v="Passthrough"/>
    <s v="Registration"/>
    <n v="72720"/>
    <s v="BRL"/>
    <n v="72720"/>
    <s v="BRL"/>
    <s v="DDM - Media - Managed Media (AOR)"/>
    <d v="2026-04-28T00:00:00"/>
    <d v="2026-02-13T00:00:00"/>
    <s v="Inbound - Website (DEPRECATED)"/>
    <s v="São Carlos, BR"/>
    <s v="47"/>
    <s v="12"/>
    <s v="Inbound"/>
    <x v="1"/>
    <x v="5"/>
  </r>
  <r>
    <s v="OPP-10164"/>
    <s v="ACC-1036"/>
    <s v="Rowan Energy"/>
    <s v="Pedro Martins"/>
    <s v="Rowan Energy - DDM - Media - Creative - 03/2026"/>
    <s v="Change Order/Upsell"/>
    <s v="Closed Won"/>
    <n v="274209.96999999997"/>
    <s v="BRL"/>
    <n v="30382.46"/>
    <s v="BRL"/>
    <s v="DDM - Media - Creative"/>
    <d v="2026-05-03T00:00:00"/>
    <d v="2026-05-03T00:00:00"/>
    <s v="Inbound - Current Client (DEPRECATED)"/>
    <s v="Votorantim, BR"/>
    <s v="40"/>
    <s v="1"/>
    <s v="Customer Success"/>
    <x v="1"/>
    <x v="0"/>
  </r>
  <r>
    <s v="OPP-10164"/>
    <s v="ACC-1036"/>
    <s v="Rowan Energy"/>
    <s v="Pedro Martins"/>
    <s v="Rowan Energy - DDM - Commerce - Content - 03/2026"/>
    <s v="Change Order/Upsell"/>
    <s v="Closed Won"/>
    <n v="274209.96999999997"/>
    <s v="BRL"/>
    <n v="26598.37"/>
    <s v="BRL"/>
    <s v="DDM - Commerce - Content"/>
    <d v="2026-05-03T00:00:00"/>
    <d v="2026-05-03T00:00:00"/>
    <s v="Inbound - Current Client (DEPRECATED)"/>
    <s v="Votorantim, BR"/>
    <s v="40"/>
    <s v="1"/>
    <s v="Customer Success"/>
    <x v="1"/>
    <x v="0"/>
  </r>
  <r>
    <s v="OPP-10164"/>
    <s v="ACC-1036"/>
    <s v="Rowan Energy"/>
    <s v="Pedro Martins"/>
    <s v="Rowan Energy - DDM - Media - Managed Media (AOR) - 03/2026"/>
    <s v="Change Order/Upsell"/>
    <s v="Closed Won"/>
    <n v="274209.96999999997"/>
    <s v="BRL"/>
    <n v="184049.73"/>
    <s v="BRL"/>
    <s v="DDM - Media - Managed Media (AOR)"/>
    <d v="2026-05-03T00:00:00"/>
    <d v="2026-05-03T00:00:00"/>
    <s v="Inbound - Current Client (DEPRECATED)"/>
    <s v="Votorantim, BR"/>
    <s v="40"/>
    <s v="1"/>
    <s v="Customer Success"/>
    <x v="1"/>
    <x v="0"/>
  </r>
  <r>
    <s v="OPP-10164"/>
    <s v="ACC-1036"/>
    <s v="Rowan Energy"/>
    <s v="Pedro Martins"/>
    <s v="Rowan Energy - DDM - Data - Services &amp; Tech - Services (Data Science/Data Eng.) - 03/2026"/>
    <s v="Change Order/Upsell"/>
    <s v="Closed Won"/>
    <n v="274209.96999999997"/>
    <s v="BRL"/>
    <n v="33179.410000000003"/>
    <s v="BRL"/>
    <s v="DDM - Data - Services &amp; Tech - Services (Data Science/Data Eng.)"/>
    <d v="2026-05-03T00:00:00"/>
    <d v="2026-05-03T00:00:00"/>
    <s v="Inbound - Current Client (DEPRECATED)"/>
    <s v="Votorantim, BR"/>
    <s v="40"/>
    <s v="1"/>
    <s v="Customer Success"/>
    <x v="1"/>
    <x v="0"/>
  </r>
  <r>
    <s v="OPP-10182"/>
    <s v="ACC-1037"/>
    <s v="Acacia Telecom"/>
    <s v="Bruno Costa"/>
    <s v="Acacia Telecom - DDM - Media - Activation - Platforms Reselling - 07/2026"/>
    <s v="Change Order/Upsell"/>
    <s v="Pitching"/>
    <n v="270000"/>
    <s v="BRL"/>
    <n v="270000"/>
    <s v="BRL"/>
    <s v="DDM - Media - Activation - Platforms Reselling"/>
    <d v="2026-07-31T00:00:00"/>
    <d v="2026-03-13T00:00:00"/>
    <s v="Inbound - Current Client (DEPRECATED)"/>
    <s v="São Paulo, BR"/>
    <s v="12"/>
    <s v="12"/>
    <s v="Customer Success"/>
    <x v="1"/>
    <x v="8"/>
  </r>
  <r>
    <s v="OPP-10236"/>
    <s v="ACC-1074"/>
    <s v="Tamarind Bank"/>
    <s v="Wanda Borges"/>
    <s v="Tamarind Bank - DDM - CRM - Salesforce Marketing Cloud - 06/2026"/>
    <s v="Project - Not Competitive"/>
    <s v="Pitching"/>
    <n v="265143.84999999998"/>
    <s v="BRL"/>
    <n v="265143.84999999998"/>
    <s v="BRL"/>
    <s v="DDM - CRM - Salesforce Marketing Cloud"/>
    <d v="2026-08-06T00:00:00"/>
    <d v="2026-09-04T00:00:00"/>
    <s v="Referral - Personal"/>
    <s v="São Carlos, BR"/>
    <s v="5"/>
    <s v="5"/>
    <s v="Referral"/>
    <x v="0"/>
    <x v="11"/>
  </r>
  <r>
    <s v="OPP-10160"/>
    <s v="ACC-1065"/>
    <s v="LarkSão Paulo, BRur Foods"/>
    <s v="Joao Pereira"/>
    <s v="LarkSão Paulo, BRur Foods - Content - Platform - Website Creation &amp; Production - 05/2026"/>
    <s v="Project - Competitive"/>
    <s v="Pitched"/>
    <n v="265000"/>
    <s v="BRL"/>
    <n v="57000"/>
    <s v="BRL"/>
    <s v="Content - Platform - Website Creation &amp; Production"/>
    <d v="2026-04-05T00:00:00"/>
    <d v="2026-03-03T00:00:00"/>
    <s v="Referral - Personal"/>
    <s v="São Carlos, BR"/>
    <s v="19"/>
    <s v="12"/>
    <s v="Referral"/>
    <x v="0"/>
    <x v="5"/>
  </r>
  <r>
    <s v="OPP-10160"/>
    <s v="ACC-1065"/>
    <s v="LarkSão Paulo, BRur Foods"/>
    <s v="Joao Pereira"/>
    <s v="LarkSão Paulo, BRur Foods - DDM - Commerce - Content - 05/2026"/>
    <s v="Project - Competitive"/>
    <s v="Pitched"/>
    <n v="265000"/>
    <s v="BRL"/>
    <n v="204000"/>
    <s v="BRL"/>
    <s v="DDM - Commerce - Content"/>
    <d v="2026-04-05T00:00:00"/>
    <d v="2026-03-03T00:00:00"/>
    <s v="Referral - Personal"/>
    <s v="São Carlos, BR"/>
    <s v="19"/>
    <s v="12"/>
    <s v="Referral"/>
    <x v="0"/>
    <x v="5"/>
  </r>
  <r>
    <s v="OPP-10160"/>
    <s v="ACC-1065"/>
    <s v="LarkSão Paulo, BRur Foods"/>
    <s v="Joao Pereira"/>
    <s v="LarkSão Paulo, BRur Foods - DDM - Media - Creative - 05/2026"/>
    <s v="Project - Competitive"/>
    <s v="Pitched"/>
    <n v="265000"/>
    <s v="BRL"/>
    <n v="4000"/>
    <s v="BRL"/>
    <s v="DDM - Media - Creative"/>
    <d v="2026-04-05T00:00:00"/>
    <d v="2026-03-03T00:00:00"/>
    <s v="Referral - Personal"/>
    <s v="São Carlos, BR"/>
    <s v="19"/>
    <s v="12"/>
    <s v="Referral"/>
    <x v="0"/>
    <x v="5"/>
  </r>
  <r>
    <s v="OPP-10144"/>
    <s v="ACC-1041"/>
    <s v="Linden Foods"/>
    <s v="Amanda Rios"/>
    <s v="Linden Foods - DDM - Media - Creative - 05/2026"/>
    <s v="Flex/Renewal"/>
    <s v="Negotiation"/>
    <n v="1926466.8"/>
    <s v="BRL"/>
    <n v="129525.6"/>
    <s v="BRL"/>
    <s v="DDM - Media - Creative"/>
    <d v="2026-05-31T00:00:00"/>
    <d v="2026-02-20T00:00:00"/>
    <s v="Inbound - Current Client (DEPRECATED)"/>
    <s v="São Carlos, BR"/>
    <s v="26"/>
    <s v="12"/>
    <s v="Customer Success"/>
    <x v="1"/>
    <x v="0"/>
  </r>
  <r>
    <s v="OPP-10144"/>
    <s v="ACC-1041"/>
    <s v="Linden Foods"/>
    <s v="Amanda Rios"/>
    <s v="Linden Foods - Content - Platform - Performance, SEO, CRM &amp; Loyalty - 05/2026"/>
    <s v="Flex/Renewal"/>
    <s v="Negotiation"/>
    <n v="1926466.8"/>
    <s v="BRL"/>
    <n v="464061.12"/>
    <s v="BRL"/>
    <s v="Content - Platform - Performance, SEO, CRM &amp; Loyalty"/>
    <d v="2026-05-31T00:00:00"/>
    <d v="2026-02-20T00:00:00"/>
    <s v="Inbound - Current Client (DEPRECATED)"/>
    <s v="São Carlos, BR"/>
    <s v="26"/>
    <s v="12"/>
    <s v="Customer Success"/>
    <x v="1"/>
    <x v="0"/>
  </r>
  <r>
    <s v="OPP-10144"/>
    <s v="ACC-1041"/>
    <s v="Linden Foods"/>
    <s v="Amanda Rios"/>
    <s v="Linden Foods - DDM - Commerce - Content - 05/2026"/>
    <s v="Flex/Renewal"/>
    <s v="Negotiation"/>
    <n v="1926466.8"/>
    <s v="BRL"/>
    <n v="1332880.08"/>
    <s v="BRL"/>
    <s v="DDM - Commerce - Content"/>
    <d v="2026-05-31T00:00:00"/>
    <d v="2026-02-20T00:00:00"/>
    <s v="Inbound - Current Client (DEPRECATED)"/>
    <s v="São Carlos, BR"/>
    <s v="26"/>
    <s v="12"/>
    <s v="Customer Success"/>
    <x v="1"/>
    <x v="0"/>
  </r>
  <r>
    <s v="OPP-10189"/>
    <s v="ACC-1020"/>
    <s v="Zucchini Logistics"/>
    <s v="Nicolas Teixeira"/>
    <s v="Zucchini Logistics - DDM - Data - Automation - 03/2026"/>
    <s v="Project - Not Competitive"/>
    <s v="Closed Won"/>
    <n v="264500"/>
    <s v="BRL"/>
    <n v="264500"/>
    <s v="BRL"/>
    <s v="DDM - Data - Automation"/>
    <d v="2026-03-30T00:00:00"/>
    <d v="2026-03-19T00:00:00"/>
    <s v="Referral - Internal"/>
    <s v="São Carlos, BR"/>
    <s v="15"/>
    <s v="5"/>
    <s v="Referral"/>
    <x v="0"/>
    <x v="2"/>
  </r>
  <r>
    <s v="OPP-10220"/>
    <s v="ACC-1084"/>
    <s v="Nigella Security"/>
    <s v="Bruno Costa"/>
    <s v="Nigella Security - DDM - Media - Managed Media (AOR) - 05/2026"/>
    <s v="Change Order/Upsell"/>
    <s v="Negotiation"/>
    <n v="264000"/>
    <s v="BRL"/>
    <n v="264000"/>
    <s v="BRL"/>
    <s v="DDM - Media - Managed Media (AOR)"/>
    <d v="2026-05-31T00:00:00"/>
    <d v="2026-02-04T00:00:00"/>
    <s v="Inbound - Current Client (DEPRECATED)"/>
    <s v="São Carlos, BR"/>
    <s v="12"/>
    <s v="12"/>
    <s v="Customer Success"/>
    <x v="1"/>
    <x v="0"/>
  </r>
  <r>
    <s v="OPP-10193"/>
    <s v="ACC-1122"/>
    <s v="Company 121"/>
    <s v="Joao Pereira"/>
    <s v="Company 121 - Content - Platform - Website Creation &amp; Production - 05/2026"/>
    <s v="Project - Competitive"/>
    <s v="Pitched"/>
    <n v="260468.47999999998"/>
    <s v="BRL"/>
    <n v="128427.48"/>
    <s v="BRL"/>
    <s v="Content - Platform - Website Creation &amp; Production"/>
    <d v="2026-04-05T00:00:00"/>
    <d v="2026-03-23T00:00:00"/>
    <s v="Referral - Internal"/>
    <s v="São Carlos, BR"/>
    <s v="18"/>
    <s v="12"/>
    <s v="Referral"/>
    <x v="0"/>
    <x v="5"/>
  </r>
  <r>
    <s v="OPP-10193"/>
    <s v="ACC-1122"/>
    <s v="Company 121"/>
    <s v="Joao Pereira"/>
    <s v="Company 121 - Content - Platform - Website Creation &amp; Production - 05/2026"/>
    <s v="Project - Competitive"/>
    <s v="Pitched"/>
    <n v="260468.47999999998"/>
    <s v="BRL"/>
    <n v="132041"/>
    <s v="BRL"/>
    <s v="Content - Platform - Website Creation &amp; Production"/>
    <d v="2026-04-05T00:00:00"/>
    <d v="2026-03-23T00:00:00"/>
    <s v="Referral - Internal"/>
    <s v="São Carlos, BR"/>
    <s v="18"/>
    <s v="12"/>
    <s v="Referral"/>
    <x v="0"/>
    <x v="5"/>
  </r>
  <r>
    <s v="OPP-10237"/>
    <s v="ACC-1015"/>
    <s v="Zinnia Apparel"/>
    <s v="Bruno Costa"/>
    <s v="Zinnia Apparel - DDM - Media - Managed Media (AOR) - 06/2026"/>
    <s v="Change Order/Upsell"/>
    <s v="Negotiation"/>
    <n v="260250.72"/>
    <s v="BRL"/>
    <n v="260250.72"/>
    <s v="BRL"/>
    <s v="DDM - Media - Managed Media (AOR)"/>
    <d v="2026-06-30T00:00:00"/>
    <d v="2026-09-04T00:00:00"/>
    <s v="Existing Client - Account/Growth Activity"/>
    <s v="São Carlos, BR"/>
    <s v="5"/>
    <s v="12"/>
    <s v="Customer Success"/>
    <x v="1"/>
    <x v="1"/>
  </r>
  <r>
    <s v="OPP-10148"/>
    <s v="ACC-1050"/>
    <s v="Dune Ecommerce"/>
    <s v="Queila Ribeiro"/>
    <s v="Dune Ecommerce - Content - Platform - Performance, SEO, CRM &amp; Loyalty - 04/2026"/>
    <s v="Flex/Renewal"/>
    <s v="Registration"/>
    <n v="2281464.96"/>
    <s v="BRL"/>
    <n v="2281464.96"/>
    <s v="BRL"/>
    <s v="Content - Platform - Performance, SEO, CRM &amp; Loyalty"/>
    <d v="2026-04-30T00:00:00"/>
    <d v="2026-02-23T00:00:00"/>
    <s v="Inbound - Current Client (DEPRECATED)"/>
    <s v="São Carlos, BR"/>
    <s v="8"/>
    <s v="12"/>
    <s v="Customer Success"/>
    <x v="1"/>
    <x v="5"/>
  </r>
  <r>
    <s v="OPP-10214"/>
    <s v="ACC-1103"/>
    <s v="Wormwood Bank"/>
    <s v="Joao Pereira"/>
    <s v="Wormwood Bank - DDM - Media - Managed Media (AOR) - 04/2026"/>
    <s v="Project - Competitive"/>
    <s v="Registration"/>
    <n v="259731.72"/>
    <s v="BRL"/>
    <n v="259731.72"/>
    <s v="BRL"/>
    <s v="DDM - Media - Managed Media (AOR)"/>
    <d v="2026-04-30T00:00:00"/>
    <d v="2026-03-31T00:00:00"/>
    <s v="Referral - Internal"/>
    <s v="Votorantim, BR"/>
    <s v="3"/>
    <s v="12"/>
    <s v="Referral"/>
    <x v="0"/>
    <x v="5"/>
  </r>
  <r>
    <s v="OPP-10142"/>
    <s v="ACC-1039"/>
    <s v="Xerus Mobility"/>
    <s v="Daniel Moura"/>
    <s v="Xerus Mobility - DDM - Data - Services &amp; Tech - Services (Analytics &amp; Support) - 05/2026"/>
    <s v="Change Order/Upsell"/>
    <s v="Pitched"/>
    <n v="254376.21"/>
    <s v="BRL"/>
    <n v="254376.21"/>
    <s v="BRL"/>
    <s v="DDM - Data - Services &amp; Tech - Services (Analytics &amp; Support)"/>
    <d v="2026-05-31T00:00:00"/>
    <d v="2026-02-19T00:00:00"/>
    <s v="Inbound - Current Client (DEPRECATED)"/>
    <s v="Votorantim, BR"/>
    <s v="33"/>
    <s v="6"/>
    <s v="Customer Success"/>
    <x v="1"/>
    <x v="0"/>
  </r>
  <r>
    <s v="OPP-10121"/>
    <s v="ACC-1089"/>
    <s v="Sage Streaming"/>
    <s v="Karina Oliveira"/>
    <s v="Sage Streaming - DDM - Data - Automation - 03/2026"/>
    <s v="Change Order/Upsell"/>
    <s v="Closed Won"/>
    <n v="252348"/>
    <s v="BRL"/>
    <n v="252348"/>
    <s v="BRL"/>
    <s v="DDM - Data - Automation"/>
    <d v="2026-03-25T00:00:00"/>
    <d v="2026-05-02T00:00:00"/>
    <s v="Inbound - Current Client (DEPRECATED)"/>
    <s v="São Paulo, BR"/>
    <s v="20"/>
    <s v="12"/>
    <s v="Customer Success"/>
    <x v="1"/>
    <x v="2"/>
  </r>
  <r>
    <s v="OPP-10041"/>
    <s v="ACC-1026"/>
    <s v="Obsidian Bank"/>
    <s v="Amanda Rios"/>
    <s v="Obsidian Bank - DDM - Media - Managed Media (AOR) - 05/2026"/>
    <s v="Change Order/Upsell"/>
    <s v="Pitched"/>
    <n v="242040.36"/>
    <s v="BRL"/>
    <n v="242040.36"/>
    <s v="BRL"/>
    <s v="DDM - Media - Managed Media (AOR)"/>
    <d v="2026-05-31T00:00:00"/>
    <d v="2025-11-14T00:00:00"/>
    <s v="Inbound - Current Client (DEPRECATED)"/>
    <s v="São Carlos, BR"/>
    <s v="117"/>
    <s v="12"/>
    <s v="Customer Success"/>
    <x v="1"/>
    <x v="0"/>
  </r>
  <r>
    <s v="OPP-10053"/>
    <s v="ACC-1064"/>
    <s v="Arrow Construction"/>
    <s v="Daniel Moura"/>
    <s v="Arrow Construction - DDM - Media - Managed Media (AOR) - 05/2026"/>
    <s v="Change Order/Upsell"/>
    <s v="Registration"/>
    <n v="235251.12000000002"/>
    <s v="BRL"/>
    <n v="187259.89"/>
    <s v="BRL"/>
    <s v="DDM - Media - Managed Media (AOR)"/>
    <d v="2026-05-31T00:00:00"/>
    <d v="2025-11-28T00:00:00"/>
    <s v="Inbound - Current Client (DEPRECATED)"/>
    <s v="Votorantim, BR"/>
    <s v="69"/>
    <s v="12"/>
    <s v="Customer Success"/>
    <x v="1"/>
    <x v="0"/>
  </r>
  <r>
    <s v="OPP-10053"/>
    <s v="ACC-1064"/>
    <s v="Arrow Construction"/>
    <s v="Daniel Moura"/>
    <s v="Arrow Construction - DDM - Data - Services &amp; Tech - Services (Data Science/Data Eng.) - 05/2026"/>
    <s v="Change Order/Upsell"/>
    <s v="Registration"/>
    <n v="235251.12000000002"/>
    <s v="BRL"/>
    <n v="47991.23"/>
    <s v="BRL"/>
    <s v="DDM - Data - Services &amp; Tech - Services (Data Science/Data Eng.)"/>
    <d v="2026-05-31T00:00:00"/>
    <d v="2025-11-28T00:00:00"/>
    <s v="Inbound - Current Client (DEPRECATED)"/>
    <s v="Votorantim, BR"/>
    <s v="69"/>
    <s v="12"/>
    <s v="Customer Success"/>
    <x v="1"/>
    <x v="0"/>
  </r>
  <r>
    <s v="OPP-10075"/>
    <s v="ACC-1004"/>
    <s v="Harbor Grocers"/>
    <s v="Carla Mendes"/>
    <s v="Harbor Grocers - DDM - Media - Managed Media (AOR) - 01/2026"/>
    <s v="Change Order/Upsell"/>
    <s v="Closed Won"/>
    <n v="228000"/>
    <s v="BRL"/>
    <n v="228000"/>
    <s v="BRL"/>
    <s v="DDM - Media - Managed Media (AOR)"/>
    <d v="2026-05-01T00:00:00"/>
    <d v="2025-12-18T00:00:00"/>
    <s v="Inbound - Current Client (DEPRECATED)"/>
    <s v="São Carlos, BR"/>
    <s v="99"/>
    <s v="6"/>
    <s v="Customer Success"/>
    <x v="1"/>
    <x v="0"/>
  </r>
  <r>
    <s v="OPP-10012"/>
    <s v="ACC-1056"/>
    <s v="Orion Bank"/>
    <s v="Carla Mendes"/>
    <s v="Orion Bank - Content - Platform - Performance, SEO, CRM &amp; Loyalty - 03/2026"/>
    <s v="Change Order/Upsell"/>
    <s v="Closed Won"/>
    <n v="222000"/>
    <s v="BRL"/>
    <n v="222000"/>
    <s v="BRL"/>
    <s v="Content - Platform - Performance, SEO, CRM &amp; Loyalty"/>
    <d v="2026-09-03T00:00:00"/>
    <d v="2025-09-09T00:00:00"/>
    <s v="Inbound - Current Client (DEPRECATED)"/>
    <s v="Votorantim, BR"/>
    <s v="36"/>
    <s v="8"/>
    <s v="Customer Success"/>
    <x v="1"/>
    <x v="7"/>
  </r>
  <r>
    <s v="OPP-10152"/>
    <s v="ACC-1117"/>
    <s v="Company 116"/>
    <s v="Felipe Lima"/>
    <s v="Company 116 - DDM - Media - Activation - Platforms Reselling - 06/2026"/>
    <s v="Project - Competitive"/>
    <s v="Pitching"/>
    <n v="216000"/>
    <s v="BRL"/>
    <n v="216000"/>
    <s v="BRL"/>
    <s v="DDM - Media - Activation - Platforms Reselling"/>
    <d v="2026-01-06T00:00:00"/>
    <d v="2026-02-27T00:00:00"/>
    <s v="Referral - Internal"/>
    <s v="São Paulo, BR"/>
    <s v="29"/>
    <s v="12"/>
    <s v="Referral"/>
    <x v="0"/>
    <x v="4"/>
  </r>
  <r>
    <s v="OPP-10136"/>
    <s v="ACC-1030"/>
    <s v="Vertex Apparel"/>
    <s v="Carla Mendes"/>
    <s v="Vertex Apparel - DDM - Media - Managed Media (AOR) - 04/2026"/>
    <s v="Change Order/Upsell"/>
    <s v="Registration"/>
    <n v="208391.64"/>
    <s v="BRL"/>
    <n v="208391.64"/>
    <s v="BRL"/>
    <s v="DDM - Media - Managed Media (AOR)"/>
    <d v="2026-04-30T00:00:00"/>
    <d v="2026-02-13T00:00:00"/>
    <s v="Inbound - Current Client (DEPRECATED)"/>
    <s v="São Carlos, BR"/>
    <s v="47"/>
    <s v="12"/>
    <s v="Customer Success"/>
    <x v="1"/>
    <x v="5"/>
  </r>
  <r>
    <s v="OPP-10048"/>
    <s v="ACC-1106"/>
    <s v="Yucca Farms"/>
    <s v="Joao Pereira"/>
    <s v="Yucca Farms - DDM - Data - Services &amp; Tech - Services (Analytics &amp; Support) - 03/2026"/>
    <s v="Project - Competitive"/>
    <s v="Closed Won"/>
    <n v="195525"/>
    <s v="BRL"/>
    <n v="61020"/>
    <s v="BRL"/>
    <s v="DDM - Data - Services &amp; Tech - Services (Analytics &amp; Support)"/>
    <d v="2026-03-31T00:00:00"/>
    <d v="2025-11-26T00:00:00"/>
    <s v="Referral - Personal"/>
    <s v="Votorantim, BR"/>
    <s v="14"/>
    <s v="3"/>
    <s v="Referral"/>
    <x v="0"/>
    <x v="2"/>
  </r>
  <r>
    <s v="OPP-10048"/>
    <s v="ACC-1106"/>
    <s v="Yucca Farms"/>
    <s v="Joao Pereira"/>
    <s v="Yucca Farms - DDM - Media - Managed Media (AOR) - 03/2026"/>
    <s v="Project - Competitive"/>
    <s v="Closed Won"/>
    <n v="195525"/>
    <s v="BRL"/>
    <n v="57430.080000000002"/>
    <s v="BRL"/>
    <s v="DDM - Media - Managed Media (AOR)"/>
    <d v="2026-03-31T00:00:00"/>
    <d v="2025-11-26T00:00:00"/>
    <s v="Referral - Personal"/>
    <s v="Votorantim, BR"/>
    <s v="14"/>
    <s v="3"/>
    <s v="Referral"/>
    <x v="0"/>
    <x v="2"/>
  </r>
  <r>
    <s v="OPP-10048"/>
    <s v="ACC-1106"/>
    <s v="Yucca Farms"/>
    <s v="Joao Pereira"/>
    <s v="Yucca Farms - DDM - Media - Creative - 03/2026"/>
    <s v="Project - Competitive"/>
    <s v="Closed Won"/>
    <n v="195525"/>
    <s v="BRL"/>
    <n v="51574.92"/>
    <s v="BRL"/>
    <s v="DDM - Media - Creative"/>
    <d v="2026-03-31T00:00:00"/>
    <d v="2025-11-26T00:00:00"/>
    <s v="Referral - Personal"/>
    <s v="Votorantim, BR"/>
    <s v="14"/>
    <s v="3"/>
    <s v="Referral"/>
    <x v="0"/>
    <x v="2"/>
  </r>
  <r>
    <s v="OPP-10048"/>
    <s v="ACC-1106"/>
    <s v="Yucca Farms"/>
    <s v="Joao Pereira"/>
    <s v="Yucca Farms - DDM - Data - Automation - 03/2026"/>
    <s v="Project - Competitive"/>
    <s v="Closed Won"/>
    <n v="195525"/>
    <s v="BRL"/>
    <n v="25500"/>
    <s v="BRL"/>
    <s v="DDM - Data - Automation"/>
    <d v="2026-03-31T00:00:00"/>
    <d v="2025-11-26T00:00:00"/>
    <s v="Referral - Personal"/>
    <s v="Votorantim, BR"/>
    <s v="14"/>
    <s v="3"/>
    <s v="Referral"/>
    <x v="0"/>
    <x v="2"/>
  </r>
  <r>
    <s v="OPP-10055"/>
    <s v="ACC-1084"/>
    <s v="Nigella Security"/>
    <s v="Bruno Costa"/>
    <s v="Nigella Security - Content - Platform - Performance, SEO, CRM &amp; Loyalty - 05/2026"/>
    <s v="Change Order/Upsell"/>
    <s v="Pitching"/>
    <n v="192000"/>
    <s v="BRL"/>
    <n v="192000"/>
    <s v="BRL"/>
    <s v="Content - Platform - Performance, SEO, CRM &amp; Loyalty"/>
    <d v="2026-05-31T00:00:00"/>
    <d v="2025-11-28T00:00:00"/>
    <s v="Inbound - Current Client (DEPRECATED)"/>
    <s v="São Carlos, BR"/>
    <s v="137"/>
    <s v="12"/>
    <s v="Customer Success"/>
    <x v="1"/>
    <x v="0"/>
  </r>
  <r>
    <s v="OPP-10011"/>
    <s v="ACC-1025"/>
    <s v="Nutmeg Gaming"/>
    <s v="Amanda Rios"/>
    <s v="Nutmeg Gaming - DDM - Media - Creative - 02/2026"/>
    <s v="Change Order/Upsell"/>
    <s v="Closed Won"/>
    <n v="180000"/>
    <s v="BRL"/>
    <n v="108000"/>
    <s v="BRL"/>
    <s v="DDM - Media - Creative"/>
    <d v="2026-09-02T00:00:00"/>
    <d v="2025-08-29T00:00:00"/>
    <s v="Inbound - Current Client (DEPRECATED)"/>
    <s v="São Carlos, BR"/>
    <s v="64"/>
    <s v="12"/>
    <s v="Customer Success"/>
    <x v="1"/>
    <x v="7"/>
  </r>
  <r>
    <s v="OPP-10011"/>
    <s v="ACC-1025"/>
    <s v="Nutmeg Gaming"/>
    <s v="Amanda Rios"/>
    <s v="Nutmeg Gaming - DDM - Media - Managed Media (AOR) - 02/2026"/>
    <s v="Change Order/Upsell"/>
    <s v="Closed Won"/>
    <n v="180000"/>
    <s v="BRL"/>
    <n v="72000"/>
    <s v="BRL"/>
    <s v="DDM - Media - Managed Media (AOR)"/>
    <d v="2026-09-02T00:00:00"/>
    <d v="2025-08-29T00:00:00"/>
    <s v="Inbound - Current Client (DEPRECATED)"/>
    <s v="São Carlos, BR"/>
    <s v="64"/>
    <s v="12"/>
    <s v="Customer Success"/>
    <x v="1"/>
    <x v="7"/>
  </r>
  <r>
    <s v="OPP-10225"/>
    <s v="ACC-1089"/>
    <s v="Sage Streaming"/>
    <s v="Karina Oliveira"/>
    <s v="Sage Streaming - DDM - Media - Managed Media (AOR) - 05/2026"/>
    <s v="Change Order/Upsell"/>
    <s v="Pitching"/>
    <n v="173729.16"/>
    <s v="BRL"/>
    <n v="173729.16"/>
    <s v="BRL"/>
    <s v="DDM - Media - Managed Media (AOR)"/>
    <d v="2026-05-29T00:00:00"/>
    <d v="2026-02-04T00:00:00"/>
    <s v="MH Lead (DEPRECATED)"/>
    <s v="Votorantim, BR"/>
    <s v="4"/>
    <s v="12"/>
    <s v="Unknown"/>
    <x v="1"/>
    <x v="0"/>
  </r>
  <r>
    <s v="OPP-10205"/>
    <s v="ACC-1114"/>
    <s v="Company 113"/>
    <s v="Wanda Borges"/>
    <s v="Company 113 - DDM - Media - Managed Media (AOR) - 04/2026"/>
    <s v="Project - Competitive"/>
    <s v="Registration"/>
    <n v="171761.3"/>
    <s v="BRL"/>
    <n v="171761.3"/>
    <s v="BRL"/>
    <s v="DDM - Media - Managed Media (AOR)"/>
    <d v="2026-04-26T00:00:00"/>
    <d v="2026-03-27T00:00:00"/>
    <s v="Referral - S4 Company"/>
    <s v="São Paulo, BR"/>
    <s v="15"/>
    <s v="10"/>
    <s v="Referral"/>
    <x v="0"/>
    <x v="5"/>
  </r>
  <r>
    <s v="OPP-10107"/>
    <s v="ACC-1016"/>
    <s v="Elm Realty"/>
    <s v="Pedro Martins"/>
    <s v="Elm Realty - DDM - Media - Managed Media (AOR) - 03/2026"/>
    <s v="Change Order/Upsell"/>
    <s v="Closed Won"/>
    <n v="164120.28"/>
    <s v="BRL"/>
    <n v="164120.28"/>
    <s v="BRL"/>
    <s v="DDM - Media - Managed Media (AOR)"/>
    <d v="2026-10-03T00:00:00"/>
    <d v="2026-01-23T00:00:00"/>
    <s v="Inbound - Current Client (DEPRECATED)"/>
    <s v="Votorantim, BR"/>
    <s v="35"/>
    <s v="12"/>
    <s v="Customer Success"/>
    <x v="1"/>
    <x v="10"/>
  </r>
  <r>
    <s v="OPP-10101"/>
    <s v="ACC-1038"/>
    <s v="Sumac Telecom"/>
    <s v="Pedro Martins"/>
    <s v="Sumac Telecom - DDM - Media - Managed Media (AOR) - 03/2026"/>
    <s v="Change Order/Upsell"/>
    <s v="Closed Won"/>
    <n v="157479.96"/>
    <s v="BRL"/>
    <n v="157479.96"/>
    <s v="BRL"/>
    <s v="DDM - Media - Managed Media (AOR)"/>
    <d v="2026-09-03T00:00:00"/>
    <d v="2026-01-21T00:00:00"/>
    <s v="Inbound - Current Client (DEPRECATED)"/>
    <s v="Votorantim, BR"/>
    <s v="36"/>
    <s v="12"/>
    <s v="Customer Success"/>
    <x v="1"/>
    <x v="7"/>
  </r>
  <r>
    <s v="OPP-10105"/>
    <s v="ACC-1053"/>
    <s v="Hemlock Insurance"/>
    <s v="Bernardo Castro"/>
    <s v="Hemlock Insurance - DDM - Media - Activation - Platforms Reselling - 04/2026"/>
    <s v="Change Order/Upsell"/>
    <s v="Negotiation"/>
    <n v="151200"/>
    <s v="BRL"/>
    <n v="151200"/>
    <s v="BRL"/>
    <s v="DDM - Media - Activation - Platforms Reselling"/>
    <d v="2026-04-30T00:00:00"/>
    <d v="2026-01-22T00:00:00"/>
    <s v="Inbound - Current Client (DEPRECATED)"/>
    <s v="São Paulo, BR"/>
    <s v="15"/>
    <s v="12"/>
    <s v="Customer Success"/>
    <x v="1"/>
    <x v="5"/>
  </r>
  <r>
    <s v="OPP-10140"/>
    <s v="ACC-1071"/>
    <s v="Pomelo Ecommerce"/>
    <s v="Wanda Borges"/>
    <s v="Pomelo Ecommerce - Content - Platform - Performance, SEO, CRM &amp; Loyalty - 05/2026"/>
    <s v="Project - Not Competitive"/>
    <s v="Pitching"/>
    <n v="149540.79"/>
    <s v="BRL"/>
    <n v="149540.79"/>
    <s v="BRL"/>
    <s v="Content - Platform - Performance, SEO, CRM &amp; Loyalty"/>
    <d v="2026-08-05T00:00:00"/>
    <d v="2026-02-18T00:00:00"/>
    <s v="Referral - S4 Company"/>
    <s v="São Carlos, BR"/>
    <s v="55"/>
    <s v="3"/>
    <s v="Referral"/>
    <x v="0"/>
    <x v="11"/>
  </r>
  <r>
    <s v="OPP-10251"/>
    <s v="ACC-1097"/>
    <s v="Quince Pharma"/>
    <s v="Joao Pereira"/>
    <s v="Quince Pharma - DDM - Data - Services &amp; Tech - Platforms Reselling - 06/2026"/>
    <s v="Project - Competitive"/>
    <s v="Pitched"/>
    <n v="148800"/>
    <s v="BRL"/>
    <n v="148800"/>
    <s v="BRL"/>
    <s v="DDM - Data - Services &amp; Tech - Platforms Reselling"/>
    <d v="2026-01-06T00:00:00"/>
    <d v="2026-10-04T00:00:00"/>
    <s v="Referral - Personal"/>
    <s v="São Paulo, BR"/>
    <s v="1"/>
    <s v="12"/>
    <s v="Referral"/>
    <x v="0"/>
    <x v="4"/>
  </r>
  <r>
    <s v="OPP-10162"/>
    <s v="ACC-1021"/>
    <s v="Violet Agriculture"/>
    <s v="Carla Mendes"/>
    <s v="Violet Agriculture - DDM - Media - Activation - Platforms Reselling - 03/2026"/>
    <s v="Flex/Renewal"/>
    <s v="Closed Won"/>
    <n v="124000"/>
    <s v="BRL"/>
    <n v="124000"/>
    <s v="BRL"/>
    <s v="DDM - Media - Activation - Platforms Reselling"/>
    <d v="2026-03-25T00:00:00"/>
    <d v="2026-05-03T00:00:00"/>
    <s v="Inbound - Current Client (DEPRECATED)"/>
    <s v="São Paulo, BR"/>
    <s v="20"/>
    <s v="12"/>
    <s v="Customer Success"/>
    <x v="1"/>
    <x v="2"/>
  </r>
  <r>
    <s v="OPP-10163"/>
    <s v="ACC-1036"/>
    <s v="Rowan Energy"/>
    <s v="Pedro Martins"/>
    <s v="Rowan Energy - DDM - Media - Managed Media (AOR) - 03/2026"/>
    <s v="Flex/Renewal"/>
    <s v="Closed Won"/>
    <n v="440332.96"/>
    <s v="BRL"/>
    <n v="440332.96"/>
    <s v="BRL"/>
    <s v="DDM - Media - Managed Media (AOR)"/>
    <d v="2026-05-03T00:00:00"/>
    <d v="2026-05-03T00:00:00"/>
    <s v="Inbound - Current Client (DEPRECATED)"/>
    <s v="Votorantim, BR"/>
    <s v="40"/>
    <s v="12"/>
    <s v="Customer Success"/>
    <x v="1"/>
    <x v="0"/>
  </r>
  <r>
    <s v="OPP-10180"/>
    <s v="ACC-1054"/>
    <s v="Kite Mobile"/>
    <s v="Bruno Costa"/>
    <s v="Kite Mobile - DDM - Media - Managed Media (AOR) - 05/2026"/>
    <s v="Change Order/Upsell"/>
    <s v="Registration"/>
    <n v="145803.84"/>
    <s v="BRL"/>
    <n v="145803.84"/>
    <s v="BRL"/>
    <s v="DDM - Media - Managed Media (AOR)"/>
    <d v="2026-05-31T00:00:00"/>
    <d v="2026-03-13T00:00:00"/>
    <s v="Inbound - Current Client (DEPRECATED)"/>
    <s v="Votorantim, BR"/>
    <s v="29"/>
    <s v="12"/>
    <s v="Customer Success"/>
    <x v="1"/>
    <x v="0"/>
  </r>
  <r>
    <s v="OPP-10104"/>
    <s v="ACC-1029"/>
    <s v="Zephyr Telecom"/>
    <s v="Ana Silva"/>
    <s v="Zephyr Telecom - DDM - Media - Managed Media (AOR) - 02/2026"/>
    <s v="Change Order/Upsell"/>
    <s v="Closed Won"/>
    <n v="144000"/>
    <s v="BRL"/>
    <n v="144000"/>
    <s v="BRL"/>
    <s v="DDM - Media - Managed Media (AOR)"/>
    <d v="2026-02-13T00:00:00"/>
    <d v="2026-01-22T00:00:00"/>
    <s v="Inbound - Current Client (DEPRECATED)"/>
    <s v="São Carlos, BR"/>
    <s v="60"/>
    <s v="12"/>
    <s v="Customer Success"/>
    <x v="1"/>
    <x v="3"/>
  </r>
  <r>
    <s v="OPP-10138"/>
    <s v="ACC-1079"/>
    <s v="Vervain Mobility"/>
    <s v="Nicolas Teixeira"/>
    <s v="Vervain Mobility - DDM - Data - Automation - 05/2026"/>
    <s v="Project - Not Competitive"/>
    <s v="Pitched"/>
    <n v="144000"/>
    <s v="BRL"/>
    <n v="144000"/>
    <s v="BRL"/>
    <s v="DDM - Data - Automation"/>
    <d v="2026-05-29T00:00:00"/>
    <d v="2026-02-13T00:00:00"/>
    <s v="Referral - Personal"/>
    <s v="São Carlos, BR"/>
    <s v="43"/>
    <s v="12"/>
    <s v="Referral"/>
    <x v="0"/>
    <x v="0"/>
  </r>
  <r>
    <s v="OPP-10181"/>
    <s v="ACC-1058"/>
    <s v="Summit Auto"/>
    <s v="Bruno Costa"/>
    <s v="Summit Auto - DDM - Data - Automation - 06/2026"/>
    <s v="Change Order/Upsell"/>
    <s v="Pitching"/>
    <n v="144000"/>
    <s v="BRL"/>
    <n v="144000"/>
    <s v="BRL"/>
    <s v="DDM - Data - Automation"/>
    <d v="2026-06-30T00:00:00"/>
    <d v="2026-03-13T00:00:00"/>
    <s v="Inbound - Current Client (DEPRECATED)"/>
    <s v="São Carlos, BR"/>
    <s v="32"/>
    <s v="12"/>
    <s v="Customer Success"/>
    <x v="1"/>
    <x v="1"/>
  </r>
  <r>
    <s v="OPP-10213"/>
    <s v="ACC-1006"/>
    <s v="Willow Beauty"/>
    <s v="Bruno Costa"/>
    <s v="Willow Beauty - DDM - Media - Creative - 04/2026"/>
    <s v="Change Order/Upsell"/>
    <s v="Registration"/>
    <n v="139766.74"/>
    <s v="BRL"/>
    <n v="75060.7"/>
    <s v="BRL"/>
    <s v="DDM - Media - Creative"/>
    <d v="2026-04-29T00:00:00"/>
    <d v="2026-03-30T00:00:00"/>
    <s v="Referral - S4 Company"/>
    <s v="Votorantim, BR"/>
    <s v="14"/>
    <s v="1"/>
    <s v="Referral"/>
    <x v="1"/>
    <x v="5"/>
  </r>
  <r>
    <s v="OPP-10168"/>
    <s v="ACC-1069"/>
    <s v="Honeysuckle Travel"/>
    <s v="Bruno Costa"/>
    <s v="Honeysuckle Travel - DDM - Media - Managed Media (AOR) - 05/2026"/>
    <s v="Flex/Renewal"/>
    <s v="Pitching"/>
    <n v="809225.34"/>
    <s v="BRL"/>
    <n v="335907.9"/>
    <s v="BRL"/>
    <s v="DDM - Media - Managed Media (AOR)"/>
    <d v="2026-05-31T00:00:00"/>
    <d v="2026-06-03T00:00:00"/>
    <s v="Inbound - Current Client (DEPRECATED)"/>
    <s v="São Carlos, BR"/>
    <s v="18"/>
    <s v="6"/>
    <s v="Customer Success"/>
    <x v="1"/>
    <x v="0"/>
  </r>
  <r>
    <s v="OPP-10168"/>
    <s v="ACC-1069"/>
    <s v="Honeysuckle Travel"/>
    <s v="Bruno Costa"/>
    <s v="Honeysuckle Travel - DDM - Data - Services &amp; Tech - Services (Analytics &amp; Support) - 05/2026"/>
    <s v="Flex/Renewal"/>
    <s v="Pitching"/>
    <n v="809225.34"/>
    <s v="BRL"/>
    <n v="109005.84"/>
    <s v="BRL"/>
    <s v="DDM - Data - Services &amp; Tech - Services (Analytics &amp; Support)"/>
    <d v="2026-05-31T00:00:00"/>
    <d v="2026-06-03T00:00:00"/>
    <s v="Inbound - Current Client (DEPRECATED)"/>
    <s v="São Carlos, BR"/>
    <s v="18"/>
    <s v="6"/>
    <s v="Customer Success"/>
    <x v="1"/>
    <x v="0"/>
  </r>
  <r>
    <s v="OPP-10168"/>
    <s v="ACC-1069"/>
    <s v="Honeysuckle Travel"/>
    <s v="Bruno Costa"/>
    <s v="Honeysuckle Travel - DDM - Media - Creative - 05/2026"/>
    <s v="Flex/Renewal"/>
    <s v="Pitching"/>
    <n v="809225.34"/>
    <s v="BRL"/>
    <n v="215611.5"/>
    <s v="BRL"/>
    <s v="DDM - Media - Creative"/>
    <d v="2026-05-31T00:00:00"/>
    <d v="2026-06-03T00:00:00"/>
    <s v="Inbound - Current Client (DEPRECATED)"/>
    <s v="São Carlos, BR"/>
    <s v="18"/>
    <s v="6"/>
    <s v="Customer Success"/>
    <x v="1"/>
    <x v="0"/>
  </r>
  <r>
    <s v="OPP-10168"/>
    <s v="ACC-1069"/>
    <s v="Honeysuckle Travel"/>
    <s v="Bruno Costa"/>
    <s v="Honeysuckle Travel - DDM - Commerce - Content - 05/2026"/>
    <s v="Flex/Renewal"/>
    <s v="Pitching"/>
    <n v="809225.34"/>
    <s v="BRL"/>
    <n v="117104.22"/>
    <s v="BRL"/>
    <s v="DDM - Commerce - Content"/>
    <d v="2026-05-31T00:00:00"/>
    <d v="2026-06-03T00:00:00"/>
    <s v="Inbound - Current Client (DEPRECATED)"/>
    <s v="São Carlos, BR"/>
    <s v="18"/>
    <s v="6"/>
    <s v="Customer Success"/>
    <x v="1"/>
    <x v="0"/>
  </r>
  <r>
    <s v="OPP-10168"/>
    <s v="ACC-1069"/>
    <s v="Honeysuckle Travel"/>
    <s v="Bruno Costa"/>
    <s v="Honeysuckle Travel - DDM - Media - Managed Media (AOR) - 05/2026"/>
    <s v="Flex/Renewal"/>
    <s v="Pitching"/>
    <n v="809225.34"/>
    <s v="BRL"/>
    <n v="31595.88"/>
    <s v="BRL"/>
    <s v="DDM - Media - Managed Media (AOR)"/>
    <d v="2026-05-31T00:00:00"/>
    <d v="2026-06-03T00:00:00"/>
    <s v="Inbound - Current Client (DEPRECATED)"/>
    <s v="São Carlos, BR"/>
    <s v="18"/>
    <s v="6"/>
    <s v="Customer Success"/>
    <x v="1"/>
    <x v="0"/>
  </r>
  <r>
    <s v="OPP-10167"/>
    <s v="ACC-1003"/>
    <s v="Ibis Mobility"/>
    <s v="Bruno Costa"/>
    <s v="Ibis Mobility - DDM - Media - Managed Media (AOR) - 05/2026"/>
    <s v="Flex/Renewal"/>
    <s v="Pitched"/>
    <n v="120000"/>
    <s v="BRL"/>
    <n v="120000"/>
    <s v="BRL"/>
    <s v="DDM - Media - Managed Media (AOR)"/>
    <d v="2026-05-31T00:00:00"/>
    <d v="2026-06-03T00:00:00"/>
    <s v="Inbound - Current Client (DEPRECATED)"/>
    <s v="São Paulo, BR"/>
    <s v="32"/>
    <s v="12"/>
    <s v="Customer Success"/>
    <x v="1"/>
    <x v="0"/>
  </r>
  <r>
    <s v="OPP-10213"/>
    <s v="ACC-1006"/>
    <s v="Willow Beauty"/>
    <s v="Bruno Costa"/>
    <s v="Willow Beauty - DDM - Commerce - Content - 04/2026"/>
    <s v="Change Order/Upsell"/>
    <s v="Registration"/>
    <n v="139766.74"/>
    <s v="BRL"/>
    <n v="64706.04"/>
    <s v="BRL"/>
    <s v="DDM - Commerce - Content"/>
    <d v="2026-04-29T00:00:00"/>
    <d v="2026-03-30T00:00:00"/>
    <s v="Referral - S4 Company"/>
    <s v="Votorantim, BR"/>
    <s v="14"/>
    <s v="1"/>
    <s v="Referral"/>
    <x v="1"/>
    <x v="5"/>
  </r>
  <r>
    <s v="OPP-10169"/>
    <s v="ACC-1017"/>
    <s v="Quince Travel"/>
    <s v="Pedro Martins"/>
    <s v="Quince Travel - Content - Platform - Performance, SEO, CRM &amp; Loyalty - 04/2026"/>
    <s v="Flex/Renewal"/>
    <s v="Registration"/>
    <n v="2510326.92"/>
    <s v="BRL"/>
    <n v="236040.72"/>
    <s v="BRL"/>
    <s v="Content - Platform - Performance, SEO, CRM &amp; Loyalty"/>
    <d v="2026-04-30T00:00:00"/>
    <d v="2026-06-03T00:00:00"/>
    <s v="Inbound - Current Client (DEPRECATED)"/>
    <s v="São Carlos, BR"/>
    <s v="39"/>
    <s v="12"/>
    <s v="Customer Success"/>
    <x v="1"/>
    <x v="5"/>
  </r>
  <r>
    <s v="OPP-10169"/>
    <s v="ACC-1017"/>
    <s v="Quince Travel"/>
    <s v="Pedro Martins"/>
    <s v="Quince Travel - Content - Platform - Performance, SEO, CRM &amp; Loyalty - 04/2026"/>
    <s v="Flex/Renewal"/>
    <s v="Registration"/>
    <n v="2510326.92"/>
    <s v="BRL"/>
    <n v="450126.12"/>
    <s v="BRL"/>
    <s v="Content - Platform - Performance, SEO, CRM &amp; Loyalty"/>
    <d v="2026-04-30T00:00:00"/>
    <d v="2026-06-03T00:00:00"/>
    <s v="Inbound - Current Client (DEPRECATED)"/>
    <s v="São Carlos, BR"/>
    <s v="39"/>
    <s v="12"/>
    <s v="Customer Success"/>
    <x v="1"/>
    <x v="5"/>
  </r>
  <r>
    <s v="OPP-10169"/>
    <s v="ACC-1017"/>
    <s v="Quince Travel"/>
    <s v="Pedro Martins"/>
    <s v="Quince Travel - Content - Platform - Service &amp; Maintenance - 04/2026"/>
    <s v="Flex/Renewal"/>
    <s v="Registration"/>
    <n v="2510326.92"/>
    <s v="BRL"/>
    <n v="340710.12"/>
    <s v="BRL"/>
    <s v="Content - Platform - Service &amp; Maintenance"/>
    <d v="2026-04-30T00:00:00"/>
    <d v="2026-06-03T00:00:00"/>
    <s v="Inbound - Current Client (DEPRECATED)"/>
    <s v="São Carlos, BR"/>
    <s v="39"/>
    <s v="12"/>
    <s v="Customer Success"/>
    <x v="1"/>
    <x v="5"/>
  </r>
  <r>
    <s v="OPP-10169"/>
    <s v="ACC-1017"/>
    <s v="Quince Travel"/>
    <s v="Pedro Martins"/>
    <s v="Quince Travel - DDM - Commerce - Content - 04/2026"/>
    <s v="Flex/Renewal"/>
    <s v="Registration"/>
    <n v="2510326.92"/>
    <s v="BRL"/>
    <n v="1483449.96"/>
    <s v="BRL"/>
    <s v="DDM - Commerce - Content"/>
    <d v="2026-04-30T00:00:00"/>
    <d v="2026-06-03T00:00:00"/>
    <s v="Inbound - Current Client (DEPRECATED)"/>
    <s v="São Carlos, BR"/>
    <s v="39"/>
    <s v="12"/>
    <s v="Customer Success"/>
    <x v="1"/>
    <x v="5"/>
  </r>
  <r>
    <s v="OPP-10170"/>
    <s v="ACC-1088"/>
    <s v="Indigo Utilities"/>
    <s v="Carla Mendes"/>
    <s v="Indigo Utilities - DDM - Media - Creative - 03/2026"/>
    <s v="Flex/Renewal"/>
    <s v="Closed Won"/>
    <n v="155444.76"/>
    <s v="BRL"/>
    <n v="155444.76"/>
    <s v="BRL"/>
    <s v="DDM - Media - Creative"/>
    <d v="2026-09-03T00:00:00"/>
    <d v="2026-09-03T00:00:00"/>
    <s v="Inbound - Current Client (DEPRECATED)"/>
    <s v="São Carlos, BR"/>
    <s v="36"/>
    <s v="3"/>
    <s v="Customer Success"/>
    <x v="1"/>
    <x v="7"/>
  </r>
  <r>
    <s v="OPP-10171"/>
    <s v="ACC-1091"/>
    <s v="Wren Chemicals"/>
    <s v="Karina Oliveira"/>
    <s v="Wren Chemicals - Content - Platform - Performance, SEO, CRM &amp; Loyalty - 06/2026"/>
    <s v="Flex/Renewal"/>
    <s v="Registration"/>
    <n v="1993383.1199999999"/>
    <s v="BRL"/>
    <n v="320220.59999999998"/>
    <s v="BRL"/>
    <s v="Content - Platform - Performance, SEO, CRM &amp; Loyalty"/>
    <d v="2026-02-06T00:00:00"/>
    <d v="2026-09-03T00:00:00"/>
    <s v="Inbound - Current Client (DEPRECATED)"/>
    <s v="São Carlos, BR"/>
    <s v="15"/>
    <s v="12"/>
    <s v="Customer Success"/>
    <x v="1"/>
    <x v="3"/>
  </r>
  <r>
    <s v="OPP-10171"/>
    <s v="ACC-1091"/>
    <s v="Wren Chemicals"/>
    <s v="Karina Oliveira"/>
    <s v="Wren Chemicals - DDM - Commerce - Content - 06/2026"/>
    <s v="Flex/Renewal"/>
    <s v="Registration"/>
    <n v="1993383.1199999999"/>
    <s v="BRL"/>
    <n v="1271332.8"/>
    <s v="BRL"/>
    <s v="DDM - Commerce - Content"/>
    <d v="2026-02-06T00:00:00"/>
    <d v="2026-09-03T00:00:00"/>
    <s v="Inbound - Current Client (DEPRECATED)"/>
    <s v="São Carlos, BR"/>
    <s v="15"/>
    <s v="12"/>
    <s v="Customer Success"/>
    <x v="1"/>
    <x v="3"/>
  </r>
  <r>
    <s v="OPP-10171"/>
    <s v="ACC-1091"/>
    <s v="Wren Chemicals"/>
    <s v="Karina Oliveira"/>
    <s v="Wren Chemicals - Content - Platform - Website Creation &amp; Production - 06/2026"/>
    <s v="Flex/Renewal"/>
    <s v="Registration"/>
    <n v="1993383.1199999999"/>
    <s v="BRL"/>
    <n v="401829.72"/>
    <s v="BRL"/>
    <s v="Content - Platform - Website Creation &amp; Production"/>
    <d v="2026-02-06T00:00:00"/>
    <d v="2026-09-03T00:00:00"/>
    <s v="Inbound - Current Client (DEPRECATED)"/>
    <s v="São Carlos, BR"/>
    <s v="15"/>
    <s v="12"/>
    <s v="Customer Success"/>
    <x v="1"/>
    <x v="3"/>
  </r>
  <r>
    <s v="OPP-10085"/>
    <s v="ACC-1043"/>
    <s v="Xanadu Media"/>
    <s v="Bernardo Castro"/>
    <s v="Xanadu Media - DDM - Commerce - Content - 04/2026"/>
    <s v="Change Order/Upsell"/>
    <s v="Registration"/>
    <n v="134323.20000000001"/>
    <s v="BRL"/>
    <n v="134323.20000000001"/>
    <s v="BRL"/>
    <s v="DDM - Commerce - Content"/>
    <d v="2026-04-30T00:00:00"/>
    <d v="2025-12-29T00:00:00"/>
    <s v="Inbound - Current Client (DEPRECATED)"/>
    <s v="Votorantim, BR"/>
    <s v="68"/>
    <s v="12"/>
    <s v="Customer Success"/>
    <x v="1"/>
    <x v="5"/>
  </r>
  <r>
    <s v="OPP-10081"/>
    <s v="ACC-1107"/>
    <s v="Cobalt SaaS"/>
    <s v="Xavier Correia"/>
    <s v="Cobalt SaaS - DDM - Data - Services &amp; Tech - Services (Data Science/Data Eng.) - 01/2026"/>
    <s v="Project - Not Competitive"/>
    <s v="Closed Won"/>
    <n v="120000"/>
    <s v="BRL"/>
    <n v="120000"/>
    <s v="BRL"/>
    <s v="DDM - Data - Services &amp; Tech - Services (Data Science/Data Eng.)"/>
    <d v="2026-01-14T00:00:00"/>
    <d v="2025-12-22T00:00:00"/>
    <s v="Referral - Personal"/>
    <s v="São Carlos, BR"/>
    <s v="90"/>
    <s v="12"/>
    <s v="Referral"/>
    <x v="0"/>
    <x v="4"/>
  </r>
  <r>
    <s v="OPP-10165"/>
    <s v="ACC-1090"/>
    <s v="Filbert São Paulo, BRorts"/>
    <s v="Bruno Costa"/>
    <s v="Filbert São Paulo, BRorts - DDM - Data - Automation - 06/2026"/>
    <s v="Change Order/Upsell"/>
    <s v="Pitching"/>
    <n v="120000"/>
    <s v="BRL"/>
    <n v="120000"/>
    <s v="BRL"/>
    <s v="DDM - Data - Automation"/>
    <d v="2026-06-30T00:00:00"/>
    <d v="2026-06-03T00:00:00"/>
    <s v="Inbound - Current Client (DEPRECATED) "/>
    <s v="São Carlos, BR"/>
    <s v="33"/>
    <s v="12"/>
    <s v="Customer Success"/>
    <x v="1"/>
    <x v="1"/>
  </r>
  <r>
    <s v="OPP-10221"/>
    <s v="ACC-1069"/>
    <s v="Honeysuckle Travel"/>
    <s v="Bruno Costa"/>
    <s v="Honeysuckle Travel - Content - Social - AOR - 05/2026"/>
    <s v="Change Order/Upsell"/>
    <s v="Pitching"/>
    <n v="120000"/>
    <s v="BRL"/>
    <n v="120000"/>
    <s v="BRL"/>
    <s v="Content - Social - AOR"/>
    <d v="2026-05-31T00:00:00"/>
    <d v="2026-02-04T00:00:00"/>
    <s v="Inbound - Current Client (DEPRECATED)"/>
    <s v="São Carlos, BR"/>
    <s v="12"/>
    <s v="6"/>
    <s v="Customer Success"/>
    <x v="1"/>
    <x v="0"/>
  </r>
  <r>
    <s v="OPP-10028"/>
    <s v="ACC-1064"/>
    <s v="Arrow Construction"/>
    <s v="Daniel Moura"/>
    <s v="Arrow Construction - DDM - Media - Managed Media (AOR) - 01/2026"/>
    <s v="Change Order/Upsell"/>
    <s v="Closed Won"/>
    <n v="112013.46"/>
    <s v="BRL"/>
    <n v="112013.46"/>
    <s v="BRL"/>
    <s v="DDM - Media - Managed Media (AOR)"/>
    <d v="2026-01-30T00:00:00"/>
    <d v="2025-10-23T00:00:00"/>
    <s v="Inbound - Current Client (DEPRECATED)"/>
    <s v="São Carlos, BR"/>
    <s v="74"/>
    <s v="6"/>
    <s v="Customer Success"/>
    <x v="1"/>
    <x v="4"/>
  </r>
  <r>
    <s v="OPP-10256"/>
    <s v="ACC-1029"/>
    <s v="Zephyr Telecom"/>
    <s v="Ana Silva"/>
    <s v="Zephyr Telecom - DDM - Media - Managed Media (AOR) - 05/2026"/>
    <s v="Change Order/Upsell"/>
    <s v="Registration"/>
    <n v="111296.52"/>
    <s v="BRL"/>
    <n v="111296.52"/>
    <s v="BRL"/>
    <s v="DDM - Media - Managed Media (AOR)"/>
    <d v="2026-05-13T00:00:00"/>
    <d v="2026-04-13T00:00:00"/>
    <s v="Existing Client - Account/Growth Activity"/>
    <s v="São Carlos, BR"/>
    <s v="1"/>
    <s v="12"/>
    <s v="Customer Success"/>
    <x v="1"/>
    <x v="0"/>
  </r>
  <r>
    <s v="OPP-10079"/>
    <s v="ACC-1050"/>
    <s v="Dune Ecommerce"/>
    <s v="Queila Ribeiro"/>
    <s v="Dune Ecommerce - Content - Platform - Website Creation &amp; Production - 03/2026"/>
    <s v="Change Order/Upsell"/>
    <s v="Closed Won"/>
    <n v="108985.08"/>
    <s v="BRL"/>
    <n v="108985.08"/>
    <s v="BRL"/>
    <s v="Content - Platform - Website Creation &amp; Production"/>
    <d v="2026-03-24T00:00:00"/>
    <d v="2025-12-19T00:00:00"/>
    <s v="Inbound - Current Client (DEPRECATED)"/>
    <s v="São Carlos, BR"/>
    <s v="21"/>
    <s v="2"/>
    <s v="Customer Success"/>
    <x v="1"/>
    <x v="2"/>
  </r>
  <r>
    <s v="OPP-10204"/>
    <s v="ACC-1003"/>
    <s v="Ibis Mobility"/>
    <s v="Bruno Costa"/>
    <s v="Ibis Mobility - DDM - Media - Activation - Platforms Reselling - 05/2026"/>
    <s v="Change Order/Upsell"/>
    <s v="Pitched"/>
    <n v="100000"/>
    <s v="BRL"/>
    <n v="100000"/>
    <s v="BRL"/>
    <s v="DDM - Media - Activation - Platforms Reselling"/>
    <d v="2026-05-31T00:00:00"/>
    <d v="2026-03-27T00:00:00"/>
    <s v="Inbound - Current Client (DEPRECATED)"/>
    <s v="São Paulo, BR"/>
    <s v="12"/>
    <s v="12"/>
    <s v="Customer Success"/>
    <x v="1"/>
    <x v="0"/>
  </r>
  <r>
    <s v="OPP-10228"/>
    <s v="ACC-1011"/>
    <s v="Cardamom Design"/>
    <s v="Xavier Correia"/>
    <s v="Cardamom Design - DDM - Media - Creative - 06/2026"/>
    <s v="Project - Competitive"/>
    <s v="Qualified"/>
    <n v="100000"/>
    <s v="BRL"/>
    <n v="100000"/>
    <s v="BRL"/>
    <s v="DDM - Media - Creative"/>
    <d v="2026-06-30T00:00:00"/>
    <d v="2026-06-04T00:00:00"/>
    <s v="Referral - Internal"/>
    <s v="São Carlos, BR"/>
    <s v="4"/>
    <s v="12"/>
    <s v="Referral"/>
    <x v="0"/>
    <x v="1"/>
  </r>
  <r>
    <s v="OPP-10119"/>
    <s v="ACC-1021"/>
    <s v="Violet Agriculture"/>
    <s v="Carla Mendes"/>
    <s v="Violet Agriculture - Content - Platform - Performance, SEO, CRM &amp; Loyalty - 05/2026"/>
    <s v="Change Order/Upsell"/>
    <s v="Pitched"/>
    <n v="97858.559999999998"/>
    <s v="BRL"/>
    <n v="97858.559999999998"/>
    <s v="BRL"/>
    <s v="Content - Platform - Performance, SEO, CRM &amp; Loyalty"/>
    <d v="2026-05-31T00:00:00"/>
    <d v="2026-04-02T00:00:00"/>
    <s v="Inbound - Current Client (DEPRECATED)"/>
    <s v="São Carlos, BR"/>
    <s v="32"/>
    <s v="12"/>
    <s v="Customer Success"/>
    <x v="1"/>
    <x v="0"/>
  </r>
  <r>
    <s v="OPP-10199"/>
    <s v="ACC-1048"/>
    <s v="Ginkgo Utilities"/>
    <s v="Daniel Moura"/>
    <s v="Ginkgo Utilities - DDM - Media - Managed Media (AOR) - 06/2026"/>
    <s v="Change Order/Upsell"/>
    <s v="Pitched"/>
    <n v="91615.13"/>
    <s v="BRL"/>
    <n v="91615.13"/>
    <s v="BRL"/>
    <s v="DDM - Media - Managed Media (AOR)"/>
    <d v="2026-06-30T00:00:00"/>
    <d v="2026-03-26T00:00:00"/>
    <s v="MH Lead (DEPRECATED)"/>
    <s v="Votorantim, BR"/>
    <s v="0"/>
    <s v="12"/>
    <s v="Unknown"/>
    <x v="1"/>
    <x v="1"/>
  </r>
  <r>
    <s v="OPP-10111"/>
    <s v="ACC-1107"/>
    <s v="Cobalt SaaS"/>
    <s v="Xavier Correia"/>
    <s v="Cobalt SaaS - Content - Social - AOR - 01/2026"/>
    <s v="Project - Not Competitive"/>
    <s v="Closed Won"/>
    <n v="90000"/>
    <s v="BRL"/>
    <n v="90000"/>
    <s v="BRL"/>
    <s v="Content - Social - AOR"/>
    <d v="2026-01-27T00:00:00"/>
    <d v="2026-01-26T00:00:00"/>
    <s v="Inbound - Current Client (DEPRECATED)"/>
    <s v="Votorantim, BR"/>
    <s v="77"/>
    <s v="6"/>
    <s v="Customer Success"/>
    <x v="0"/>
    <x v="4"/>
  </r>
  <r>
    <s v="OPP-10018"/>
    <s v="ACC-1064"/>
    <s v="Arrow Construction"/>
    <s v="Daniel Moura"/>
    <s v="Arrow Construction - DDM - Media - Managed Media (AOR) - 01/2026"/>
    <s v="Change Order/Upsell"/>
    <s v="Closed Won"/>
    <n v="88500"/>
    <s v="BRL"/>
    <n v="88500"/>
    <s v="BRL"/>
    <s v="DDM - Media - Managed Media (AOR)"/>
    <d v="2026-01-22T00:00:00"/>
    <d v="2025-09-26T00:00:00"/>
    <s v="Inbound - Current Client (DEPRECATED)"/>
    <s v="São Carlos, BR"/>
    <s v="82"/>
    <s v="12"/>
    <s v="Customer Success"/>
    <x v="1"/>
    <x v="4"/>
  </r>
  <r>
    <s v="OPP-10039"/>
    <s v="ACC-1057"/>
    <s v="Raven São Paulo, BRorts"/>
    <s v="Carla Mendes"/>
    <s v="Raven São Paulo, BRorts - DDM - Media - Managed Media (AOR) - 03/2026"/>
    <s v="Change Order/Upsell"/>
    <s v="Closed Won"/>
    <n v="88063.48"/>
    <s v="BRL"/>
    <n v="88063.48"/>
    <s v="BRL"/>
    <s v="DDM - Media - Managed Media (AOR)"/>
    <d v="2026-12-03T00:00:00"/>
    <d v="2025-11-13T00:00:00"/>
    <s v="Don't Know/Other (DEPRECATED)"/>
    <s v="Votorantim, BR"/>
    <n v="33"/>
    <s v="4"/>
    <s v="Unknown"/>
    <x v="1"/>
    <x v="6"/>
  </r>
  <r>
    <s v="OPP-10179"/>
    <s v="ACC-1029"/>
    <s v="Zephyr Telecom"/>
    <s v="Ana Silva"/>
    <s v="Zephyr Telecom - DDM - Data - Services &amp; Tech - Services (Analytics &amp; Support) - 04/2026"/>
    <s v="Flex/Renewal"/>
    <s v="Registration"/>
    <n v="709465.68"/>
    <s v="BRL"/>
    <n v="144000"/>
    <s v="BRL"/>
    <s v="DDM - Data - Services &amp; Tech - Services (Analytics &amp; Support)"/>
    <d v="2026-04-30T00:00:00"/>
    <d v="2026-12-03T00:00:00"/>
    <s v="Inbound - Current Client (DEPRECATED)"/>
    <s v="São Carlos, BR"/>
    <s v="28"/>
    <s v="12"/>
    <s v="Customer Success"/>
    <x v="1"/>
    <x v="5"/>
  </r>
  <r>
    <s v="OPP-10179"/>
    <s v="ACC-1029"/>
    <s v="Zephyr Telecom"/>
    <s v="Ana Silva"/>
    <s v="Zephyr Telecom - DDM - Media - Managed Media (AOR) - 04/2026"/>
    <s v="Flex/Renewal"/>
    <s v="Registration"/>
    <n v="709465.68"/>
    <s v="BRL"/>
    <n v="565465.68000000005"/>
    <s v="BRL"/>
    <s v="DDM - Media - Managed Media (AOR)"/>
    <d v="2026-04-30T00:00:00"/>
    <d v="2026-12-03T00:00:00"/>
    <s v="Inbound - Current Client (DEPRECATED)"/>
    <s v="São Carlos, BR"/>
    <s v="28"/>
    <s v="12"/>
    <s v="Customer Success"/>
    <x v="1"/>
    <x v="5"/>
  </r>
  <r>
    <s v="OPP-10174"/>
    <s v="ACC-1006"/>
    <s v="Willow Beauty"/>
    <s v="Felipe Lima"/>
    <s v="Willow Beauty - Content - Platform - Performance, SEO, CRM &amp; Loyalty - 06/2026"/>
    <s v="Project - Not Competitive"/>
    <s v="Pitching"/>
    <n v="88000"/>
    <s v="BRL"/>
    <n v="88000"/>
    <s v="BRL"/>
    <s v="Content - Platform - Performance, SEO, CRM &amp; Loyalty"/>
    <d v="2026-01-06T00:00:00"/>
    <d v="2026-11-03T00:00:00"/>
    <s v="Referral - S4 Company"/>
    <s v="São Carlos, BR"/>
    <s v="29"/>
    <s v="2"/>
    <s v="Referral"/>
    <x v="0"/>
    <x v="4"/>
  </r>
  <r>
    <s v="OPP-10002"/>
    <s v="ACC-1108"/>
    <s v="Jojoba Cosmetics"/>
    <s v="Wanda Borges"/>
    <s v="Jojoba Cosmetics - DDM - Media - Activation - Platforms Reselling - 01/2026"/>
    <s v="Project - Competitive"/>
    <s v="Closed Won"/>
    <n v="85000"/>
    <s v="BRL"/>
    <n v="85000"/>
    <s v="BRL"/>
    <s v="DDM - Media - Activation - Platforms Reselling"/>
    <d v="2026-01-19T00:00:00"/>
    <d v="2025-05-30T00:00:00"/>
    <s v="Referral - Partner - Google Marketing Platform"/>
    <s v="São Paulo, BR"/>
    <s v="85"/>
    <s v="12"/>
    <s v="Referral"/>
    <x v="0"/>
    <x v="4"/>
  </r>
  <r>
    <s v="OPP-10153"/>
    <s v="ACC-1118"/>
    <s v="Company 117"/>
    <s v="Nicolas Teixeira"/>
    <s v="Company 117 - DDM - Media - Activation - Platforms Reselling - 03/2026"/>
    <s v="Project - Not Competitive"/>
    <s v="Closed Won"/>
    <n v="84000"/>
    <s v="BRL"/>
    <n v="84000"/>
    <s v="BRL"/>
    <s v="DDM - Media - Activation - Platforms Reselling"/>
    <d v="2026-10-03T00:00:00"/>
    <d v="2026-02-27T00:00:00"/>
    <s v="Referral - Internal"/>
    <s v="São Paulo, BR"/>
    <s v="35"/>
    <s v="12"/>
    <s v="Referral"/>
    <x v="0"/>
    <x v="10"/>
  </r>
  <r>
    <s v="OPP-10106"/>
    <s v="ACC-1023"/>
    <s v="Iris Delivery"/>
    <s v="Amanda Rios"/>
    <s v="Iris Delivery - Content - Platform - Performance, SEO, CRM &amp; Loyalty - 03/2026"/>
    <s v="Change Order/Upsell"/>
    <s v="Closed Won"/>
    <n v="77204.399999999994"/>
    <s v="BRL"/>
    <n v="77204.399999999994"/>
    <s v="BRL"/>
    <s v="Content - Platform - Performance, SEO, CRM &amp; Loyalty"/>
    <d v="2026-05-03T00:00:00"/>
    <d v="2026-01-22T00:00:00"/>
    <s v="Inbound - Current Client (DEPRECATED)"/>
    <s v="Votorantim, BR"/>
    <s v="40"/>
    <s v="12"/>
    <s v="Customer Success"/>
    <x v="1"/>
    <x v="0"/>
  </r>
  <r>
    <s v="OPP-10073"/>
    <s v="ACC-1016"/>
    <s v="Elm Realty"/>
    <s v="Pedro Martins"/>
    <s v="Elm Realty - DDM - Media - Managed Media (AOR) - 03/2026"/>
    <s v="Change Order/Upsell"/>
    <s v="Closed Won"/>
    <n v="76299"/>
    <s v="BRL"/>
    <n v="76299"/>
    <s v="BRL"/>
    <s v="DDM - Media - Managed Media (AOR)"/>
    <d v="2026-03-23T00:00:00"/>
    <d v="2025-12-18T00:00:00"/>
    <s v="Inbound - Current Client (DEPRECATED)"/>
    <s v="Votorantim, BR"/>
    <s v="22"/>
    <s v="12"/>
    <s v="Customer Success"/>
    <x v="1"/>
    <x v="2"/>
  </r>
  <r>
    <s v="OPP-10108"/>
    <s v="ACC-1099"/>
    <s v="Kiwi Logistics"/>
    <s v="Xavier Correia"/>
    <s v="Kiwi Logistics - Content - Platform - Performance, SEO, CRM &amp; Loyalty - 03/2026"/>
    <s v="Project - Competitive"/>
    <s v="Closed Won"/>
    <n v="75753.77"/>
    <s v="BRL"/>
    <n v="75753.77"/>
    <s v="BRL"/>
    <s v="Content - Platform - Performance, SEO, CRM &amp; Loyalty"/>
    <d v="2026-03-31T00:00:00"/>
    <d v="2026-01-23T00:00:00"/>
    <s v="Referral - S4 Company"/>
    <s v="São Carlos, BR"/>
    <s v="14"/>
    <s v="3"/>
    <s v="Referral"/>
    <x v="0"/>
    <x v="2"/>
  </r>
  <r>
    <s v="OPP-10130"/>
    <s v="ACC-1089"/>
    <s v="Sage Streaming"/>
    <s v="Karina Oliveira"/>
    <s v="Sage Streaming - DDM - Data - Services &amp; Tech - Platforms Reselling - 04/2026"/>
    <s v="Change Order/Upsell"/>
    <s v="Pitching"/>
    <n v="68000"/>
    <s v="BRL"/>
    <n v="68000"/>
    <s v="BRL"/>
    <s v="DDM - Data - Services &amp; Tech - Platforms Reselling"/>
    <d v="2026-04-30T00:00:00"/>
    <d v="2026-12-02T00:00:00"/>
    <s v="Inbound - Current Client (DEPRECATED)"/>
    <s v="São Paulo, BR"/>
    <s v="4"/>
    <s v="12"/>
    <s v="Customer Success"/>
    <x v="1"/>
    <x v="5"/>
  </r>
  <r>
    <s v="OPP-10103"/>
    <s v="ACC-1015"/>
    <s v="Zinnia Apparel"/>
    <s v="Ana Silva"/>
    <s v="Zinnia Apparel - DDM - Media - Managed Media (AOR) - 03/2026"/>
    <s v="Change Order/Upsell"/>
    <s v="Closed Won"/>
    <n v="65038.05"/>
    <s v="BRL"/>
    <n v="65038.05"/>
    <s v="BRL"/>
    <s v="DDM - Media - Managed Media (AOR)"/>
    <d v="2026-03-31T00:00:00"/>
    <d v="2026-01-22T00:00:00"/>
    <s v="Inbound - Current Client (DEPRECATED)"/>
    <s v="São Carlos, BR"/>
    <s v="14"/>
    <s v="3"/>
    <s v="Customer Success"/>
    <x v="1"/>
    <x v="2"/>
  </r>
  <r>
    <s v="OPP-10006"/>
    <s v="ACC-1029"/>
    <s v="Zephyr Telecom"/>
    <s v="Ana Silva"/>
    <s v="Zephyr Telecom - DDM - Data - Services &amp; Tech - Services (Analytics &amp; Support) - 01/2026"/>
    <s v="Change Order/Upsell"/>
    <s v="Closed Won"/>
    <n v="64258.47"/>
    <s v="BRL"/>
    <n v="64258.47"/>
    <s v="BRL"/>
    <s v="DDM - Data - Services &amp; Tech - Services (Analytics &amp; Support)"/>
    <d v="2026-01-21T00:00:00"/>
    <d v="2025-08-21T00:00:00"/>
    <s v="Inbound - Current Client (DEPRECATED)"/>
    <s v="São Carlos, BR"/>
    <s v="83"/>
    <s v="1"/>
    <s v="Customer Success"/>
    <x v="1"/>
    <x v="4"/>
  </r>
  <r>
    <s v="OPP-10082"/>
    <s v="ACC-1108"/>
    <s v="Jojoba Cosmetics"/>
    <s v="Wanda Borges"/>
    <s v="Jojoba Cosmetics - DDM - Media - Managed Media (AOR) - 01/2026"/>
    <s v="Project - Competitive"/>
    <s v="Closed Won"/>
    <n v="60000"/>
    <s v="BRL"/>
    <n v="60000"/>
    <s v="BRL"/>
    <s v="DDM - Media - Managed Media (AOR)"/>
    <d v="2026-01-19T00:00:00"/>
    <d v="2025-12-23T00:00:00"/>
    <s v="Don't Know/Other (DEPRECATED)"/>
    <s v="São Carlos, BR"/>
    <s v="85"/>
    <s v="12"/>
    <s v="Unknown"/>
    <x v="0"/>
    <x v="4"/>
  </r>
  <r>
    <s v="OPP-10120"/>
    <s v="ACC-1049"/>
    <s v="Hazel Construction"/>
    <s v="Bernardo Castro"/>
    <s v="Hazel Construction - Content - Social - AOR - 03/2026"/>
    <s v="Change Order/Upsell"/>
    <s v="Closed Won"/>
    <n v="58838.400000000001"/>
    <s v="BRL"/>
    <n v="58838.400000000001"/>
    <s v="BRL"/>
    <s v="Content - Social - AOR"/>
    <d v="2026-03-26T00:00:00"/>
    <d v="2026-04-02T00:00:00"/>
    <s v="Inbound - Current Client (DEPRECATED)"/>
    <s v="São Carlos, BR"/>
    <s v="19"/>
    <s v="12"/>
    <s v="Customer Success"/>
    <x v="1"/>
    <x v="2"/>
  </r>
  <r>
    <s v="OPP-10188"/>
    <s v="ACC-1032"/>
    <s v="Zedoary Chemicals"/>
    <s v="Amanda Rios"/>
    <s v="Zedoary Chemicals - DDM - Data - Services &amp; Tech - Platforms Reselling - 05/2026"/>
    <s v="Flex/Renewal"/>
    <s v="Pitched"/>
    <n v="205277.88"/>
    <s v="BRL"/>
    <n v="205277.88"/>
    <s v="BRL"/>
    <s v="DDM - Data - Services &amp; Tech - Platforms Reselling"/>
    <d v="2026-05-31T00:00:00"/>
    <d v="2026-03-19T00:00:00"/>
    <s v="Inbound - Current Client (DEPRECATED)"/>
    <s v="São Paulo, BR"/>
    <s v="4"/>
    <s v="12"/>
    <s v="Customer Success"/>
    <x v="1"/>
    <x v="0"/>
  </r>
  <r>
    <s v="OPP-10239"/>
    <s v="ACC-1028"/>
    <s v="Xenon Realty"/>
    <s v="Bernardo Castro"/>
    <s v="Xenon Realty - DDM - Media - Creative - 05/2026"/>
    <s v="Change Order/Upsell"/>
    <s v="Negotiation"/>
    <n v="57594.2"/>
    <s v="BRL"/>
    <n v="57594.2"/>
    <s v="BRL"/>
    <s v="DDM - Media - Creative"/>
    <d v="2026-09-05T00:00:00"/>
    <d v="2026-09-04T00:00:00"/>
    <s v="Existing Client - Account/Growth Activity"/>
    <s v="Votorantim, BR"/>
    <s v="4"/>
    <s v="2"/>
    <s v="Customer Success"/>
    <x v="1"/>
    <x v="7"/>
  </r>
  <r>
    <s v="OPP-10191"/>
    <s v="ACC-1016"/>
    <s v="Elm Realty"/>
    <s v="Pedro Martins"/>
    <s v="Elm Realty - DDM - Data - Services &amp; Tech - Services (Analytics &amp; Support) - 03/2026"/>
    <s v="Flex/Renewal"/>
    <s v="Closed Won"/>
    <n v="486654.96"/>
    <s v="BRL"/>
    <n v="96850.32"/>
    <s v="BRL"/>
    <s v="DDM - Data - Services &amp; Tech - Services (Analytics &amp; Support)"/>
    <d v="2026-03-20T00:00:00"/>
    <d v="2026-03-20T00:00:00"/>
    <s v="Inbound - Current Client (DEPRECATED)"/>
    <s v="Votorantim, BR"/>
    <s v="25"/>
    <s v="12"/>
    <s v="Customer Success"/>
    <x v="1"/>
    <x v="2"/>
  </r>
  <r>
    <s v="OPP-10191"/>
    <s v="ACC-1016"/>
    <s v="Elm Realty"/>
    <s v="Pedro Martins"/>
    <s v="Elm Realty - DDM - Media - Managed Media (AOR) - 03/2026"/>
    <s v="Flex/Renewal"/>
    <s v="Closed Won"/>
    <n v="486654.96"/>
    <s v="BRL"/>
    <n v="389804.64"/>
    <s v="BRL"/>
    <s v="DDM - Media - Managed Media (AOR)"/>
    <d v="2026-03-20T00:00:00"/>
    <d v="2026-03-20T00:00:00"/>
    <s v="Inbound - Current Client (DEPRECATED)"/>
    <s v="Votorantim, BR"/>
    <s v="25"/>
    <s v="12"/>
    <s v="Customer Success"/>
    <x v="1"/>
    <x v="2"/>
  </r>
  <r>
    <s v="OPP-10212"/>
    <s v="ACC-1049"/>
    <s v="Hazel Construction"/>
    <s v="Bernardo Castro"/>
    <s v="Hazel Construction - Content - Social - AOR - 05/2026"/>
    <s v="Change Order/Upsell"/>
    <s v="Negotiation"/>
    <n v="54000"/>
    <s v="BRL"/>
    <n v="54000"/>
    <s v="BRL"/>
    <s v="Content - Social - AOR"/>
    <d v="2026-05-31T00:00:00"/>
    <d v="2026-03-30T00:00:00"/>
    <s v="Inbound - Current Client (DEPRECATED)"/>
    <s v="São Carlos, BR"/>
    <s v="15"/>
    <s v="3"/>
    <s v="Customer Success"/>
    <x v="1"/>
    <x v="0"/>
  </r>
  <r>
    <s v="OPP-10123"/>
    <s v="ACC-1101"/>
    <s v="Basil São Paulo, BRorts"/>
    <s v="Xavier Correia"/>
    <s v="Basil São Paulo, BRorts - Content - Platform - Performance, SEO, CRM &amp; Loyalty - 03/2026"/>
    <s v="Project - Not Competitive"/>
    <s v="Closed Won"/>
    <n v="50514.15"/>
    <s v="BRL"/>
    <n v="50514.15"/>
    <s v="BRL"/>
    <s v="Content - Platform - Performance, SEO, CRM &amp; Loyalty"/>
    <d v="2026-03-26T00:00:00"/>
    <d v="2026-06-02T00:00:00"/>
    <s v="Don't Know/Other (DEPRECATED)"/>
    <s v="São Carlos, BR"/>
    <s v="19"/>
    <s v="1,5"/>
    <s v="Unknown"/>
    <x v="0"/>
    <x v="2"/>
  </r>
  <r>
    <s v="OPP-10157"/>
    <s v="ACC-1050"/>
    <s v="Dune Ecommerce"/>
    <s v="Queila Ribeiro"/>
    <s v="Dune Ecommerce - Content - Platform - Website Creation &amp; Production - 05/2026"/>
    <s v="Change Order/Upsell"/>
    <s v="Pitched"/>
    <n v="50000"/>
    <s v="BRL"/>
    <n v="50000"/>
    <s v="BRL"/>
    <s v="Content - Platform - Website Creation &amp; Production"/>
    <d v="2026-05-31T00:00:00"/>
    <d v="2026-02-03T00:00:00"/>
    <s v="Inbound - Current Client (DEPRECATED)"/>
    <s v="São Carlos, BR"/>
    <s v="31"/>
    <s v="1"/>
    <s v="Customer Success"/>
    <x v="1"/>
    <x v="0"/>
  </r>
  <r>
    <s v="OPP-10203"/>
    <s v="ACC-1033"/>
    <s v="Onyx Utilities"/>
    <s v="Amanda Rios"/>
    <s v="Onyx Utilities - Content - Social - AOR - 05/2026"/>
    <s v="Change Order/Upsell"/>
    <s v="Negotiation"/>
    <n v="48076.800000000003"/>
    <s v="BRL"/>
    <n v="48076.800000000003"/>
    <s v="BRL"/>
    <s v="Content - Social - AOR"/>
    <d v="2026-05-31T00:00:00"/>
    <d v="2026-03-26T00:00:00"/>
    <s v="Inbound - Current Client (DEPRECATED)"/>
    <s v="Votorantim, BR"/>
    <s v="19"/>
    <s v="12"/>
    <s v="Customer Success"/>
    <x v="1"/>
    <x v="0"/>
  </r>
  <r>
    <s v="OPP-10014"/>
    <s v="ACC-1036"/>
    <s v="Rowan Energy"/>
    <s v="Pedro Martins"/>
    <s v="Rowan Energy - DDM - Data - Services &amp; Tech - Services (Data Science/Data Eng.) - 05/2026"/>
    <s v="Change Order/Upsell"/>
    <s v="Pitched"/>
    <n v="47800.800000000003"/>
    <s v="BRL"/>
    <n v="47800.800000000003"/>
    <s v="BRL"/>
    <s v="DDM - Data - Services &amp; Tech - Services (Data Science/Data Eng.)"/>
    <d v="2026-05-31T00:00:00"/>
    <d v="2025-09-17T00:00:00"/>
    <s v="Inbound - Current Client (DEPRECATED)"/>
    <s v="Votorantim, BR"/>
    <s v="148"/>
    <s v="6"/>
    <s v="Customer Success"/>
    <x v="1"/>
    <x v="0"/>
  </r>
  <r>
    <s v="OPP-10084"/>
    <s v="ACC-1004"/>
    <s v="Harbor Grocers"/>
    <s v="Carla Mendes"/>
    <s v="Harbor Grocers - DDM - Commerce - Content - 01/2026"/>
    <s v="Change Order/Upsell"/>
    <s v="Closed Won"/>
    <n v="45500"/>
    <s v="BRL"/>
    <n v="27900"/>
    <s v="BRL"/>
    <s v="DDM - Commerce - Content"/>
    <d v="2026-01-14T00:00:00"/>
    <d v="2025-12-23T00:00:00"/>
    <s v="Inbound - Current Client (DEPRECATED)"/>
    <s v="São Carlos, BR"/>
    <s v="90"/>
    <s v="2"/>
    <s v="Customer Success"/>
    <x v="1"/>
    <x v="4"/>
  </r>
  <r>
    <s v="OPP-10084"/>
    <s v="ACC-1004"/>
    <s v="Harbor Grocers"/>
    <s v="Carla Mendes"/>
    <s v="Harbor Grocers - DDM - Media - Creative - 01/2026"/>
    <s v="Change Order/Upsell"/>
    <s v="Closed Won"/>
    <n v="45500"/>
    <s v="BRL"/>
    <n v="17600"/>
    <s v="BRL"/>
    <s v="DDM - Media - Creative"/>
    <d v="2026-01-14T00:00:00"/>
    <d v="2025-12-23T00:00:00"/>
    <s v="Inbound - Current Client (DEPRECATED)"/>
    <s v="São Carlos, BR"/>
    <s v="90"/>
    <s v="2"/>
    <s v="Customer Success"/>
    <x v="1"/>
    <x v="4"/>
  </r>
  <r>
    <s v="OPP-10187"/>
    <s v="ACC-1004"/>
    <s v="Harbor Grocers"/>
    <s v="Carla Mendes"/>
    <s v="Harbor Grocers - DDM - Media - Creative - 04/2026"/>
    <s v="Change Order/Upsell"/>
    <s v="Closed Won"/>
    <n v="45500"/>
    <s v="BRL"/>
    <n v="17600"/>
    <s v="BRL"/>
    <s v="DDM - Media - Creative"/>
    <d v="2026-08-04T00:00:00"/>
    <d v="2026-03-19T00:00:00"/>
    <s v="Inbound - Current Client (DEPRECATED)"/>
    <s v="São Carlos, BR"/>
    <s v="6"/>
    <s v="2"/>
    <s v="Customer Success"/>
    <x v="1"/>
    <x v="11"/>
  </r>
  <r>
    <s v="OPP-10187"/>
    <s v="ACC-1004"/>
    <s v="Harbor Grocers"/>
    <s v="Carla Mendes"/>
    <s v="Harbor Grocers - DDM - Commerce - Content - 04/2026"/>
    <s v="Change Order/Upsell"/>
    <s v="Closed Won"/>
    <n v="45500"/>
    <s v="BRL"/>
    <n v="27900"/>
    <s v="BRL"/>
    <s v="DDM - Commerce - Content"/>
    <d v="2026-08-04T00:00:00"/>
    <d v="2026-03-19T00:00:00"/>
    <s v="Inbound - Current Client (DEPRECATED)"/>
    <s v="São Carlos, BR"/>
    <s v="6"/>
    <s v="2"/>
    <s v="Customer Success"/>
    <x v="1"/>
    <x v="11"/>
  </r>
  <r>
    <s v="OPP-10196"/>
    <s v="ACC-1015"/>
    <s v="Zinnia Apparel"/>
    <s v="Bruno Costa"/>
    <s v="Zinnia Apparel - DDM - Media - Managed Media (AOR) - 03/2026"/>
    <s v="Change Order/Upsell"/>
    <s v="Closed Won"/>
    <n v="44271"/>
    <s v="BRL"/>
    <n v="44271"/>
    <s v="BRL"/>
    <s v="DDM - Media - Managed Media (AOR)"/>
    <d v="2026-03-31T00:00:00"/>
    <d v="2026-03-25T00:00:00"/>
    <s v="Inbound - Current Client (DEPRECATED)"/>
    <s v="São Carlos, BR"/>
    <s v="14"/>
    <s v="3"/>
    <s v="Customer Success"/>
    <x v="1"/>
    <x v="2"/>
  </r>
  <r>
    <s v="OPP-10198"/>
    <s v="ACC-1066"/>
    <s v="Magnolia Retail"/>
    <s v="Carla Mendes"/>
    <s v="Magnolia Retail - DDM - Data - Services &amp; Tech - Services (Analytics &amp; Support) - 04/2026"/>
    <s v="Flex/Renewal"/>
    <s v="Registration"/>
    <n v="74000"/>
    <s v="BRL"/>
    <n v="74000"/>
    <s v="BRL"/>
    <s v="DDM - Data - Services &amp; Tech - Services (Analytics &amp; Support)"/>
    <d v="2026-04-30T00:00:00"/>
    <d v="2026-03-26T00:00:00"/>
    <s v="Inbound - Current Client (DEPRECATED)"/>
    <s v="São Carlos, BR"/>
    <s v="13"/>
    <s v="6"/>
    <s v="Customer Success"/>
    <x v="1"/>
    <x v="5"/>
  </r>
  <r>
    <s v="OPP-10078"/>
    <s v="ACC-1057"/>
    <s v="Raven São Paulo, BRorts"/>
    <s v="Carla Mendes"/>
    <s v="Raven São Paulo, BRorts - DDM - Media - Managed Media (AOR) - 02/2026"/>
    <s v="Change Order/Upsell"/>
    <s v="Closed Won"/>
    <n v="44031.74"/>
    <s v="BRL"/>
    <n v="44031.74"/>
    <s v="BRL"/>
    <s v="DDM - Media - Managed Media (AOR)"/>
    <d v="2026-02-02T00:00:00"/>
    <d v="2025-12-19T00:00:00"/>
    <s v="Inbound - Current Client (DEPRECATED)"/>
    <s v="Votorantim, BR"/>
    <s v="71"/>
    <s v="1"/>
    <s v="Customer Success"/>
    <x v="1"/>
    <x v="3"/>
  </r>
  <r>
    <s v="OPP-10019"/>
    <s v="ACC-1099"/>
    <s v="Kiwi Logistics"/>
    <s v="Yasmin Nogueira"/>
    <s v="Kiwi Logistics - Content - Platform - Performance, SEO, CRM &amp; Loyalty - 05/2026"/>
    <s v="Project - Not Competitive"/>
    <s v="Registration"/>
    <n v="42721.49"/>
    <s v="BRL"/>
    <n v="42721.49"/>
    <s v="BRL"/>
    <s v="Content - Platform - Performance, SEO, CRM &amp; Loyalty"/>
    <d v="2026-11-05T00:00:00"/>
    <d v="2025-01-10T00:00:00"/>
    <s v="Referral - S4 Company"/>
    <s v="São Carlos, BR"/>
    <s v="175"/>
    <s v="2"/>
    <s v="Referral"/>
    <x v="0"/>
    <x v="9"/>
  </r>
  <r>
    <s v="OPP-10218"/>
    <s v="ACC-1104"/>
    <s v="Juno Health"/>
    <s v="Diego Rocha"/>
    <s v="Juno Health - DDM - Media - Activation - Platforms Reselling - 04/2026"/>
    <s v="Project - Not Competitive"/>
    <s v="Registration"/>
    <n v="42000"/>
    <s v="BRL"/>
    <n v="42000"/>
    <s v="BRL"/>
    <s v="DDM - Media - Activation - Platforms Reselling"/>
    <d v="2026-04-13T00:00:00"/>
    <d v="2026-01-04T00:00:00"/>
    <s v="Referral - Internal"/>
    <s v="São Carlos, BR"/>
    <s v="12"/>
    <s v="12"/>
    <s v="Referral"/>
    <x v="0"/>
    <x v="5"/>
  </r>
  <r>
    <s v="OPP-10003"/>
    <s v="ACC-1094"/>
    <s v="Xylitol Beverages"/>
    <s v="Lucas Almeida"/>
    <s v="Xylitol Beverages - DDM - Media - Activation - Platforms Reselling - 01/2026"/>
    <s v="Project - Not Competitive"/>
    <s v="Closed Won"/>
    <n v="40000"/>
    <s v="BRL"/>
    <n v="40000"/>
    <s v="BRL"/>
    <s v="DDM - Media - Activation - Platforms Reselling"/>
    <d v="2026-09-01T00:00:00"/>
    <d v="2025-07-21T00:00:00"/>
    <s v="Referral - Internal"/>
    <s v="São Paulo, BR"/>
    <s v="92"/>
    <s v="12"/>
    <s v="Referral"/>
    <x v="0"/>
    <x v="7"/>
  </r>
  <r>
    <s v="OPP-10080"/>
    <s v="ACC-1031"/>
    <s v="Nova Studios"/>
    <s v="Queila Ribeiro"/>
    <s v="Nova Studios - DDM - Media - Creative - 02/2026"/>
    <s v="Change Order/Upsell"/>
    <s v="Closed Won"/>
    <n v="39230.949999999997"/>
    <s v="BRL"/>
    <n v="39230.949999999997"/>
    <s v="BRL"/>
    <s v="DDM - Media - Creative"/>
    <d v="2026-03-02T00:00:00"/>
    <d v="2025-12-19T00:00:00"/>
    <s v="Inbound - Current Client (DEPRECATED)"/>
    <s v="São Carlos, BR"/>
    <s v="70"/>
    <s v="1"/>
    <s v="Customer Success"/>
    <x v="1"/>
    <x v="2"/>
  </r>
  <r>
    <s v="OPP-10063"/>
    <s v="ACC-1019"/>
    <s v="Thistle Tech"/>
    <s v="Amanda Rios"/>
    <s v="Thistle Tech - DDM - Data - Services &amp; Tech - Services (Analytics &amp; Support) - 01/2026"/>
    <s v="Change Order/Upsell"/>
    <s v="Closed Won"/>
    <n v="38183.32"/>
    <s v="BRL"/>
    <n v="38183.32"/>
    <s v="BRL"/>
    <s v="DDM - Data - Services &amp; Tech - Services (Analytics &amp; Support)"/>
    <d v="2026-01-30T00:00:00"/>
    <d v="2025-05-12T00:00:00"/>
    <s v="Inbound - Current Client (DEPRECATED)"/>
    <s v="São Carlos, BR"/>
    <s v="74"/>
    <s v="2"/>
    <s v="Customer Success"/>
    <x v="1"/>
    <x v="4"/>
  </r>
  <r>
    <s v="OPP-10197"/>
    <s v="ACC-1123"/>
    <s v="Company 122"/>
    <s v="Thiago Freitas"/>
    <s v="Company 122 - DDM - Media - Managed Media (AOR) - 05/2026"/>
    <s v="Project - Not Competitive"/>
    <s v="Qualified"/>
    <n v="35000"/>
    <s v="BRL"/>
    <n v="35000"/>
    <s v="BRL"/>
    <s v="DDM - Media - Managed Media (AOR)"/>
    <d v="2026-05-31T00:00:00"/>
    <d v="2026-03-26T00:00:00"/>
    <s v="Inbound - Website - Media.Monks (DEPRECATED)"/>
    <s v="São Paulo, BR"/>
    <s v="1"/>
    <s v="3"/>
    <s v="Inbound"/>
    <x v="0"/>
    <x v="0"/>
  </r>
  <r>
    <s v="OPP-10206"/>
    <s v="ACC-1124"/>
    <s v="Company 123"/>
    <s v="Lucas Almeida"/>
    <s v="Company 123 -  - 05/2026"/>
    <m/>
    <s v="Opportunity Identified"/>
    <n v="0"/>
    <m/>
    <m/>
    <m/>
    <m/>
    <d v="2026-06-05T00:00:00"/>
    <d v="2026-03-30T00:00:00"/>
    <s v="Referral - Internal"/>
    <s v="Votorantim, BR"/>
    <s v="15"/>
    <m/>
    <s v="Referral"/>
    <x v="1"/>
    <x v="1"/>
  </r>
  <r>
    <s v="OPP-10010"/>
    <s v="ACC-1031"/>
    <s v="Nova Studios"/>
    <s v="Queila Ribeiro"/>
    <s v="Nova Studios - DDM - Data - Services &amp; Tech - Services (Analytics &amp; Support) - 01/2026"/>
    <s v="Change Order/Upsell"/>
    <s v="Closed Won"/>
    <n v="33442.82"/>
    <s v="BRL"/>
    <n v="33442.82"/>
    <s v="BRL"/>
    <s v="DDM - Data - Services &amp; Tech - Services (Analytics &amp; Support)"/>
    <d v="2026-08-01T00:00:00"/>
    <d v="2025-08-28T00:00:00"/>
    <s v="Inbound - Current Client (DEPRECATED)"/>
    <s v="São Carlos, BR"/>
    <s v="96"/>
    <s v="1"/>
    <s v="Customer Success"/>
    <x v="1"/>
    <x v="11"/>
  </r>
  <r>
    <s v="OPP-10129"/>
    <s v="ACC-1113"/>
    <s v="Company 112"/>
    <s v="Diego Rocha"/>
    <s v="Company 112 - DDM - Data - Services &amp; Tech - Platforms Reselling - 02/2026"/>
    <s v="Project - Not Competitive"/>
    <s v="Closed Won"/>
    <n v="32400"/>
    <s v="BRL"/>
    <n v="32400"/>
    <s v="BRL"/>
    <s v="DDM - Data - Services &amp; Tech - Platforms Reselling"/>
    <d v="2026-02-24T00:00:00"/>
    <d v="2026-11-02T00:00:00"/>
    <s v="Inbound - Website - Media.Monks (DEPRECATED)"/>
    <s v="São Paulo, BR"/>
    <s v="49"/>
    <s v="12"/>
    <s v="Inbound"/>
    <x v="0"/>
    <x v="3"/>
  </r>
  <r>
    <s v="OPP-10004"/>
    <s v="ACC-1035"/>
    <s v="Copper Air"/>
    <s v="Bernardo Castro"/>
    <s v="Copper Air - DDM - Data - Services &amp; Tech - Services (Analytics &amp; Support) - 01/2026"/>
    <s v="Change Order/Upsell"/>
    <s v="Closed Won"/>
    <n v="32226.34"/>
    <s v="BRL"/>
    <n v="32226.34"/>
    <s v="BRL"/>
    <s v="DDM - Data - Services &amp; Tech - Services (Analytics &amp; Support)"/>
    <d v="2026-01-14T00:00:00"/>
    <d v="2025-08-08T00:00:00"/>
    <s v="Inbound - Current Client (DEPRECATED)"/>
    <s v="Votorantim, BR"/>
    <s v="90"/>
    <s v="2"/>
    <s v="Customer Success"/>
    <x v="1"/>
    <x v="4"/>
  </r>
  <r>
    <s v="OPP-10190"/>
    <s v="ACC-1047"/>
    <s v="Oregano Air"/>
    <s v="Nicolas Teixeira"/>
    <s v="Oregano Air - DDM - Media - Managed Media (AOR) - 05/2026"/>
    <s v="Project - Not Competitive"/>
    <s v="Pitching"/>
    <n v="31256.14"/>
    <s v="BRL"/>
    <n v="10256.14"/>
    <s v="BRL"/>
    <s v="DDM - Media - Managed Media (AOR)"/>
    <d v="2026-05-29T00:00:00"/>
    <d v="2026-03-20T00:00:00"/>
    <s v="Inbound - Website - Media.Monks (DEPRECATED)"/>
    <s v="São Carlos, BR"/>
    <s v="4"/>
    <s v="12"/>
    <s v="Inbound"/>
    <x v="0"/>
    <x v="0"/>
  </r>
  <r>
    <s v="OPP-10190"/>
    <s v="ACC-1047"/>
    <s v="Oregano Air"/>
    <s v="Nicolas Teixeira"/>
    <s v="Oregano Air - DDM - Media - Activation - Platforms Reselling - 05/2026"/>
    <s v="Project - Not Competitive"/>
    <s v="Pitching"/>
    <n v="31256.14"/>
    <s v="BRL"/>
    <n v="21000"/>
    <s v="BRL"/>
    <s v="DDM - Media - Activation - Platforms Reselling"/>
    <d v="2026-05-29T00:00:00"/>
    <d v="2026-03-20T00:00:00"/>
    <s v="Inbound - Website - Media.Monks (DEPRECATED)"/>
    <s v="São Carlos, BR"/>
    <s v="4"/>
    <s v="12"/>
    <s v="Inbound"/>
    <x v="0"/>
    <x v="0"/>
  </r>
  <r>
    <s v="OPP-10096"/>
    <s v="ACC-1037"/>
    <s v="Acacia Telecom"/>
    <s v="Bruno Costa"/>
    <s v="Acacia Telecom - Content - Social - AOR - 03/2026"/>
    <s v="Change Order/Upsell"/>
    <s v="Closed Won"/>
    <n v="30051.61"/>
    <s v="BRL"/>
    <n v="30051.61"/>
    <s v="BRL"/>
    <s v="Content - Social - AOR"/>
    <d v="2026-03-26T00:00:00"/>
    <d v="2026-01-15T00:00:00"/>
    <s v="Inbound - Current Client (DEPRECATED)"/>
    <s v="São Carlos, BR"/>
    <s v="19"/>
    <s v="1"/>
    <s v="Customer Success"/>
    <x v="1"/>
    <x v="2"/>
  </r>
  <r>
    <s v="OPP-10005"/>
    <s v="ACC-1096"/>
    <s v="Vanilla Beverages"/>
    <s v="Nicolas Teixeira"/>
    <s v="Vanilla Beverages - DDM - Media - Activation - Platforms Reselling - 05/2026"/>
    <s v="Project - Competitive"/>
    <s v="Negotiation"/>
    <n v="30000"/>
    <s v="BRL"/>
    <n v="30000"/>
    <s v="BRL"/>
    <s v="DDM - Media - Activation - Platforms Reselling"/>
    <d v="2026-05-29T00:00:00"/>
    <d v="2025-08-18T00:00:00"/>
    <s v="Referral - Internal"/>
    <s v="São Carlos, BR"/>
    <s v="92"/>
    <s v="12"/>
    <s v="Referral"/>
    <x v="0"/>
    <x v="0"/>
  </r>
  <r>
    <s v="OPP-10113"/>
    <s v="ACC-1049"/>
    <s v="Hazel Construction"/>
    <s v="Bernardo Castro"/>
    <s v="Hazel Construction - Content - Social - AOR - 03/2026"/>
    <s v="Change Order/Upsell"/>
    <s v="Closed Won"/>
    <n v="29205.38"/>
    <s v="BRL"/>
    <n v="29205.38"/>
    <s v="BRL"/>
    <s v="Content - Social - AOR"/>
    <d v="2026-12-03T00:00:00"/>
    <d v="2026-01-29T00:00:00"/>
    <s v="Inbound - Current Client (DEPRECATED)"/>
    <s v="São Carlos, BR"/>
    <s v="33"/>
    <s v="1"/>
    <s v="Customer Success"/>
    <x v="1"/>
    <x v="6"/>
  </r>
  <r>
    <s v="OPP-10244"/>
    <s v="ACC-1041"/>
    <s v="Linden Foods"/>
    <s v="Amanda Rios"/>
    <s v="Linden Foods - DDM - Media - Managed Media (AOR) - 07/2026"/>
    <s v="Change Order/Upsell"/>
    <s v="Qualified"/>
    <n v="25000"/>
    <s v="BRL"/>
    <n v="25000"/>
    <s v="BRL"/>
    <s v="DDM - Media - Managed Media (AOR)"/>
    <d v="2026-07-31T00:00:00"/>
    <d v="2026-10-04T00:00:00"/>
    <s v="Existing Client - Account/Growth Activity"/>
    <s v="São Carlos, BR"/>
    <s v="4"/>
    <s v="12"/>
    <s v="Customer Success"/>
    <x v="1"/>
    <x v="8"/>
  </r>
  <r>
    <s v="OPP-10127"/>
    <s v="ACC-1029"/>
    <s v="Zephyr Telecom"/>
    <s v="Ana Silva"/>
    <s v="Zephyr Telecom - DDM - Media - Managed Media (AOR) - 03/2026"/>
    <s v="Change Order/Upsell"/>
    <s v="Closed Won"/>
    <n v="24501.84"/>
    <s v="BRL"/>
    <n v="24501.84"/>
    <s v="BRL"/>
    <s v="DDM - Media - Managed Media (AOR)"/>
    <d v="2026-11-03T00:00:00"/>
    <d v="2026-10-02T00:00:00"/>
    <s v="Inbound - Current Client (DEPRECATED)"/>
    <s v="São Carlos, BR"/>
    <s v="34"/>
    <s v="12"/>
    <s v="Customer Success"/>
    <x v="1"/>
    <x v="9"/>
  </r>
  <r>
    <s v="OPP-10133"/>
    <s v="ACC-1061"/>
    <s v="Nectarine Cosmetics"/>
    <s v="Sofia Guimaraes"/>
    <s v="Nectarine Cosmetics - DDM - Data - Automation - 04/2026"/>
    <s v="Change Order/Upsell"/>
    <s v="Registration"/>
    <n v="24000"/>
    <s v="BRL"/>
    <n v="24000"/>
    <s v="BRL"/>
    <s v="DDM - Data - Automation"/>
    <d v="2026-04-30T00:00:00"/>
    <d v="2026-12-02T00:00:00"/>
    <s v="Inbound - Current Client (DEPRECATED)"/>
    <s v="São Carlos, BR"/>
    <s v="60"/>
    <s v="12"/>
    <s v="Customer Success"/>
    <x v="1"/>
    <x v="5"/>
  </r>
  <r>
    <s v="OPP-10034"/>
    <s v="ACC-1049"/>
    <s v="Hazel Construction"/>
    <s v="Bernardo Castro"/>
    <s v="Hazel Construction - Content - Social - AOR - 01/2026"/>
    <s v="Change Order/Upsell"/>
    <s v="Closed Won"/>
    <n v="21044.400000000001"/>
    <s v="BRL"/>
    <n v="21044.400000000001"/>
    <s v="BRL"/>
    <s v="Content - Social - AOR"/>
    <d v="2026-01-22T00:00:00"/>
    <d v="2025-10-30T00:00:00"/>
    <s v="Inbound - Current Client (DEPRECATED)"/>
    <s v="São Carlos, BR"/>
    <s v="82"/>
    <s v="1"/>
    <s v="Customer Success"/>
    <x v="1"/>
    <x v="4"/>
  </r>
  <r>
    <s v="OPP-10215"/>
    <s v="ACC-1077"/>
    <s v="Mesa Electronics"/>
    <s v="Vinicius Cardoso"/>
    <s v="Mesa Electronics -  - 03/2026"/>
    <m/>
    <s v="Opportunity Identified"/>
    <n v="0"/>
    <m/>
    <m/>
    <m/>
    <m/>
    <d v="2026-03-31T00:00:00"/>
    <d v="2026-03-31T00:00:00"/>
    <s v="Inbound - Website - Media.Monks (DEPRECATED)"/>
    <s v="São Paulo, BR"/>
    <s v="14"/>
    <m/>
    <s v="Inbound"/>
    <x v="1"/>
    <x v="2"/>
  </r>
  <r>
    <s v="OPP-10216"/>
    <s v="ACC-1015"/>
    <s v="Zinnia Apparel"/>
    <s v="Ana Silva"/>
    <s v="Zinnia Apparel - DDM - Media - Managed Media (AOR) - 04/2026"/>
    <s v="Flex/Renewal"/>
    <s v="Negotiation"/>
    <n v="8049213.7800000003"/>
    <s v="BRL"/>
    <n v="8049213.7800000003"/>
    <s v="BRL"/>
    <s v="DDM - Media - Managed Media (AOR)"/>
    <d v="2026-04-30T00:00:00"/>
    <d v="2026-03-31T00:00:00"/>
    <s v="Inbound - Current Client (DEPRECATED)"/>
    <s v="São Carlos, BR"/>
    <s v="5"/>
    <s v="12"/>
    <s v="Customer Success"/>
    <x v="1"/>
    <x v="5"/>
  </r>
  <r>
    <s v="OPP-10100"/>
    <s v="ACC-1024"/>
    <s v="Topaz Publishing"/>
    <s v="Carla Mendes"/>
    <s v="Topaz Publishing - Content - Social - AOR - 04/2026"/>
    <s v="Change Order/Upsell"/>
    <s v="Closed Won"/>
    <n v="17899"/>
    <s v="BRL"/>
    <n v="17899"/>
    <s v="BRL"/>
    <s v="Content - Social - AOR"/>
    <d v="2026-01-04T00:00:00"/>
    <d v="2026-01-21T00:00:00"/>
    <s v="Inbound - Current Client (DEPRECATED)"/>
    <s v="São Carlos, BR"/>
    <s v="13"/>
    <s v="1"/>
    <s v="Customer Success"/>
    <x v="1"/>
    <x v="4"/>
  </r>
  <r>
    <s v="OPP-10117"/>
    <s v="ACC-1037"/>
    <s v="Acacia Telecom"/>
    <s v="Bruno Costa"/>
    <s v="Acacia Telecom - DDM - Media - Creative - 03/2026"/>
    <s v="Change Order/Upsell"/>
    <s v="Closed Won"/>
    <n v="11948.39"/>
    <s v="BRL"/>
    <n v="11948.39"/>
    <s v="BRL"/>
    <s v="DDM - Media - Creative"/>
    <d v="2026-03-26T00:00:00"/>
    <d v="2026-03-02T00:00:00"/>
    <s v="Inbound - Current Client (DEPRECATED)"/>
    <s v="Votorantim, BR"/>
    <s v="19"/>
    <s v="1"/>
    <s v="Customer Success"/>
    <x v="1"/>
    <x v="2"/>
  </r>
  <r>
    <s v="OPP-10219"/>
    <s v="ACC-1050"/>
    <s v="Dune Ecommerce"/>
    <s v="Queila Ribeiro"/>
    <s v="Dune Ecommerce - DDM - Media - Activation - Platforms Reselling - 06/2026"/>
    <s v="Flex/Renewal"/>
    <s v="Registration"/>
    <n v="3480000"/>
    <s v="BRL"/>
    <n v="1800000"/>
    <s v="BRL"/>
    <s v="DDM - Media - Activation - Platforms Reselling"/>
    <d v="2026-06-30T00:00:00"/>
    <d v="2026-01-04T00:00:00"/>
    <s v="Existing Client - Account/Growth Activity"/>
    <s v="São Paulo, BR"/>
    <s v="12"/>
    <s v="12"/>
    <s v="Customer Success"/>
    <x v="1"/>
    <x v="1"/>
  </r>
  <r>
    <s v="OPP-10219"/>
    <s v="ACC-1050"/>
    <s v="Dune Ecommerce"/>
    <s v="Queila Ribeiro"/>
    <s v="Dune Ecommerce - DDM - Media - Activation - Platforms Reselling - 06/2026"/>
    <s v="Flex/Renewal"/>
    <s v="Registration"/>
    <n v="3480000"/>
    <s v="BRL"/>
    <n v="1680000"/>
    <s v="BRL"/>
    <s v="DDM - Media - Activation - Platforms Reselling"/>
    <d v="2026-06-30T00:00:00"/>
    <d v="2026-01-04T00:00:00"/>
    <s v="Existing Client - Account/Growth Activity"/>
    <s v="São Paulo, BR"/>
    <s v="12"/>
    <s v="12"/>
    <s v="Customer Success"/>
    <x v="1"/>
    <x v="1"/>
  </r>
  <r>
    <s v="OPP-10068"/>
    <s v="ACC-1023"/>
    <s v="Iris Delivery"/>
    <s v="Amanda Rios"/>
    <s v="Iris Delivery - DDM - Data - Services &amp; Tech - Services (Analytics &amp; Support) - 04/2026"/>
    <s v="Change Order/Upsell"/>
    <s v="Registration"/>
    <n v="10992.1"/>
    <s v="BRL"/>
    <n v="10992.1"/>
    <s v="BRL"/>
    <s v="DDM - Data - Services &amp; Tech - Services (Analytics &amp; Support)"/>
    <d v="2026-04-29T00:00:00"/>
    <d v="2025-09-12T00:00:00"/>
    <s v="Inbound - Current Client (DEPRECATED)"/>
    <s v="Votorantim, BR"/>
    <s v="126"/>
    <s v="1"/>
    <s v="Customer Success"/>
    <x v="1"/>
    <x v="5"/>
  </r>
  <r>
    <s v="OPP-10076"/>
    <s v="ACC-1044"/>
    <s v="Yerba Studios"/>
    <s v="Carla Mendes"/>
    <s v="Yerba Studios - DDM - Media - Creative - 01/2026"/>
    <s v="Change Order/Upsell"/>
    <s v="Closed Won"/>
    <n v="10784"/>
    <s v="BRL"/>
    <n v="5392"/>
    <s v="BRL"/>
    <s v="DDM - Media - Creative"/>
    <d v="2026-01-27T00:00:00"/>
    <d v="2025-12-18T00:00:00"/>
    <s v="Inbound - Current Client (DEPRECATED)"/>
    <s v="São Carlos, BR"/>
    <s v="77"/>
    <s v="12"/>
    <s v="Customer Success"/>
    <x v="1"/>
    <x v="4"/>
  </r>
  <r>
    <s v="OPP-10076"/>
    <s v="ACC-1044"/>
    <s v="Yerba Studios"/>
    <s v="Carla Mendes"/>
    <s v="Yerba Studios - DDM - Commerce - Content - 01/2026"/>
    <s v="Change Order/Upsell"/>
    <s v="Closed Won"/>
    <n v="10784"/>
    <s v="BRL"/>
    <n v="5392"/>
    <s v="BRL"/>
    <s v="DDM - Commerce - Content"/>
    <d v="2026-01-27T00:00:00"/>
    <d v="2025-12-18T00:00:00"/>
    <s v="Inbound - Current Client (DEPRECATED)"/>
    <s v="São Carlos, BR"/>
    <s v="77"/>
    <s v="12"/>
    <s v="Customer Success"/>
    <x v="1"/>
    <x v="4"/>
  </r>
  <r>
    <s v="OPP-10062"/>
    <s v="ACC-1004"/>
    <s v="Harbor Grocers"/>
    <s v="Carla Mendes"/>
    <s v="Harbor Grocers - DDM - Media - Creative - 01/2026"/>
    <s v="Change Order/Upsell"/>
    <s v="Closed Won"/>
    <n v="10000"/>
    <s v="BRL"/>
    <n v="10000"/>
    <s v="BRL"/>
    <s v="DDM - Media - Creative"/>
    <d v="2026-08-01T00:00:00"/>
    <d v="2025-04-12T00:00:00"/>
    <s v="Inbound - Current Client (DEPRECATED)"/>
    <s v="São Carlos, BR"/>
    <s v="96"/>
    <s v="1"/>
    <s v="Customer Success"/>
    <x v="1"/>
    <x v="11"/>
  </r>
  <r>
    <s v="OPP-10217"/>
    <s v="ACC-1056"/>
    <s v="Orion Bank"/>
    <s v="Carla Mendes"/>
    <s v="Orion Bank - DDM - Commerce - Content - 04/2026"/>
    <s v="Change Order/Upsell"/>
    <s v="Closed Won"/>
    <n v="8023.37"/>
    <s v="BRL"/>
    <n v="8023.37"/>
    <s v="BRL"/>
    <s v="DDM - Commerce - Content"/>
    <d v="2026-04-13T00:00:00"/>
    <d v="2026-01-04T00:00:00"/>
    <s v="Existing Client - Account/Growth Activity"/>
    <s v="Votorantim, BR"/>
    <s v="1"/>
    <s v="1"/>
    <s v="Customer Success"/>
    <x v="1"/>
    <x v="5"/>
  </r>
  <r>
    <s v="OPP-10083"/>
    <s v="ACC-1016"/>
    <s v="Elm Realty"/>
    <s v="Pedro Martins"/>
    <s v="Elm Realty - DDM - Data - Services &amp; Tech - Services (Analytics &amp; Support) - 03/2026"/>
    <s v="Change Order/Upsell"/>
    <s v="Closed Won"/>
    <n v="7943.76"/>
    <s v="BRL"/>
    <n v="7943.76"/>
    <s v="BRL"/>
    <s v="DDM - Data - Services &amp; Tech - Services (Analytics &amp; Support)"/>
    <d v="2026-03-20T00:00:00"/>
    <d v="2025-12-23T00:00:00"/>
    <s v="Inbound - Current Client (DEPRECATED)"/>
    <s v="Votorantim, BR"/>
    <s v="25"/>
    <s v="12"/>
    <s v="Customer Success"/>
    <x v="1"/>
    <x v="2"/>
  </r>
  <r>
    <s v="OPP-10088"/>
    <s v="ACC-1029"/>
    <s v="Zephyr Telecom"/>
    <s v="Ana Silva"/>
    <s v="Zephyr Telecom - DDM - Media - Managed Media (AOR) - 01/2026"/>
    <s v="Change Order/Upsell"/>
    <s v="Closed Won"/>
    <n v="5000"/>
    <s v="BRL"/>
    <n v="5000"/>
    <s v="BRL"/>
    <s v="DDM - Media - Managed Media (AOR)"/>
    <d v="2026-12-01T00:00:00"/>
    <d v="2026-09-01T00:00:00"/>
    <s v="Inbound - Current Client (DEPRECATED)"/>
    <s v="São Paulo, BR"/>
    <s v="92"/>
    <s v="1"/>
    <s v="Customer Success"/>
    <x v="1"/>
    <x v="6"/>
  </r>
  <r>
    <s v="OPP-10116"/>
    <s v="ACC-1029"/>
    <s v="Zephyr Telecom"/>
    <s v="Ana Silva"/>
    <s v="Zephyr Telecom - DDM - Media - Managed Media (AOR) - 02/2026"/>
    <s v="Change Order/Upsell"/>
    <s v="Closed Won"/>
    <n v="5000"/>
    <s v="BRL"/>
    <n v="5000"/>
    <s v="BRL"/>
    <s v="DDM - Media - Managed Media (AOR)"/>
    <d v="2026-02-19T00:00:00"/>
    <d v="2026-02-02T00:00:00"/>
    <s v="Inbound - Current Client (DEPRECATED)"/>
    <s v="São Carlos, BR"/>
    <s v="54"/>
    <s v="1"/>
    <s v="Customer Success"/>
    <x v="1"/>
    <x v="3"/>
  </r>
  <r>
    <s v="OPP-10185"/>
    <s v="ACC-1049"/>
    <s v="Hazel Construction"/>
    <s v="Bernardo Castro"/>
    <s v="Hazel Construction - DDM - Media - Managed Media (AOR) - 04/2026"/>
    <s v="Change Order/Upsell"/>
    <s v="Registration"/>
    <n v="3000"/>
    <s v="BRL"/>
    <n v="3000"/>
    <s v="BRL"/>
    <s v="DDM - Media - Managed Media (AOR)"/>
    <d v="2026-04-17T00:00:00"/>
    <d v="2026-03-18T00:00:00"/>
    <s v="Inbound - Current Client (DEPRECATED)"/>
    <s v="São Carlos, BR"/>
    <s v="14"/>
    <s v="1"/>
    <s v="Customer Success"/>
    <x v="1"/>
    <x v="5"/>
  </r>
  <r>
    <s v="OPP-10229"/>
    <s v="ACC-1051"/>
    <s v="Pyrite Fintech"/>
    <s v="Karina Oliveira"/>
    <s v="Pyrite Fintech - DDM - Data - Services &amp; Tech - Platforms Reselling - 04/2026"/>
    <s v="Flex/Renewal"/>
    <s v="Registration"/>
    <n v="220278.24"/>
    <s v="BRL"/>
    <n v="220278.24"/>
    <s v="BRL"/>
    <s v="DDM - Data - Services &amp; Tech - Platforms Reselling"/>
    <d v="2026-04-30T00:00:00"/>
    <d v="2026-06-04T00:00:00"/>
    <s v="MH Lead (DEPRECATED)"/>
    <s v="São Paulo, BR"/>
    <s v="8"/>
    <s v="12"/>
    <s v="Unknown"/>
    <x v="1"/>
    <x v="5"/>
  </r>
  <r>
    <s v="OPP-10151"/>
    <s v="ACC-1075"/>
    <s v="Kestrel Logistics"/>
    <s v="Bernardo Castro"/>
    <s v="Kestrel Logistics - Content - Platform - Website Creation &amp; Production - 04/2026"/>
    <s v="Change Order/Upsell"/>
    <s v="Registration"/>
    <n v="420"/>
    <s v="BRL"/>
    <n v="420"/>
    <s v="BRL"/>
    <s v="Content - Platform - Website Creation &amp; Production"/>
    <d v="2026-04-30T00:00:00"/>
    <d v="2026-02-26T00:00:00"/>
    <s v="Inbound - Current Client (DEPRECATED)"/>
    <s v="São Carlos, BR"/>
    <s v="47"/>
    <s v="1"/>
    <s v="Customer Success"/>
    <x v="1"/>
    <x v="5"/>
  </r>
  <r>
    <s v="OPP-10086"/>
    <s v="ACC-1029"/>
    <s v="Zephyr Telecom"/>
    <s v="Ana Silva"/>
    <s v="Zephyr Telecom - DDM - Data - Services &amp; Tech - Services (Analytics &amp; Support) - 04/2026"/>
    <s v="Change Order/Upsell"/>
    <s v="Registration"/>
    <n v="10"/>
    <s v="BRL"/>
    <n v="10"/>
    <s v="BRL"/>
    <s v="DDM - Data - Services &amp; Tech - Services (Analytics &amp; Support)"/>
    <d v="2026-04-30T00:00:00"/>
    <d v="2026-08-01T00:00:00"/>
    <s v="Inbound - Current Client (DEPRECATED)"/>
    <s v="São Carlos, BR"/>
    <s v="61"/>
    <s v="1"/>
    <s v="Customer Success"/>
    <x v="1"/>
    <x v="5"/>
  </r>
  <r>
    <s v="OPP-10013"/>
    <s v="ACC-1040"/>
    <s v="Quartz Pharma"/>
    <s v="Sofia Guimaraes"/>
    <s v="Quartz Pharma -  - 06/2026"/>
    <s v="Change Order/Upsell"/>
    <s v="Opportunity Identified"/>
    <n v="0"/>
    <m/>
    <m/>
    <m/>
    <m/>
    <d v="2026-06-30T00:00:00"/>
    <d v="2025-12-09T00:00:00"/>
    <s v="Inbound - Current Client (DEPRECATED)"/>
    <s v="São Paulo, BR"/>
    <s v="180"/>
    <s v="12"/>
    <s v="Customer Success"/>
    <x v="1"/>
    <x v="1"/>
  </r>
  <r>
    <s v="OPP-10232"/>
    <s v="ACC-1064"/>
    <s v="Arrow Construction"/>
    <s v="Daniel Moura"/>
    <s v="Arrow Construction - DDM - Media - Creative - 06/2026"/>
    <s v="Flex/Renewal"/>
    <s v="Pitching"/>
    <n v="883034.4"/>
    <s v="BRL"/>
    <n v="883034.4"/>
    <s v="BRL"/>
    <s v="DDM - Media - Creative"/>
    <d v="2026-06-30T00:00:00"/>
    <d v="2026-08-04T00:00:00"/>
    <s v="Existing Client - Account/Growth Activity"/>
    <s v="São Carlos, BR"/>
    <s v="1"/>
    <s v="12"/>
    <s v="Customer Success"/>
    <x v="1"/>
    <x v="1"/>
  </r>
  <r>
    <s v="OPP-10115"/>
    <s v="ACC-1031"/>
    <s v="Nova Studios"/>
    <s v="Queila Ribeiro"/>
    <s v="Nova Studios -  - 05/2026"/>
    <s v="Change Order/Upsell"/>
    <s v="Qualified"/>
    <n v="0"/>
    <m/>
    <m/>
    <m/>
    <m/>
    <d v="2026-05-31T00:00:00"/>
    <d v="2026-02-02T00:00:00"/>
    <s v="Inbound - Current Client (DEPRECATED)"/>
    <s v="São Carlos, BR"/>
    <s v="71"/>
    <m/>
    <s v="Customer Success"/>
    <x v="1"/>
    <x v="0"/>
  </r>
  <r>
    <s v="OPP-10122"/>
    <s v="ACC-1089"/>
    <s v="Sage Streaming"/>
    <s v="Karina Oliveira"/>
    <s v="Sage Streaming -  - 05/2026"/>
    <s v="Change Order/Upsell"/>
    <s v="Qualified"/>
    <n v="0"/>
    <m/>
    <m/>
    <m/>
    <m/>
    <d v="2026-01-05T00:00:00"/>
    <d v="2026-05-02T00:00:00"/>
    <s v="Inbound - Current Client (DEPRECATED)"/>
    <s v="São Carlos, BR"/>
    <s v="68"/>
    <s v="12"/>
    <s v="Customer Success"/>
    <x v="1"/>
    <x v="4"/>
  </r>
  <r>
    <s v="OPP-10141"/>
    <s v="ACC-1114"/>
    <s v="Company 113"/>
    <s v="Wanda Borges"/>
    <s v="Company 113 -  - 07/2026"/>
    <s v="Project - Competitive"/>
    <s v="Opportunity Identified"/>
    <n v="0"/>
    <m/>
    <m/>
    <m/>
    <m/>
    <d v="2026-01-07T00:00:00"/>
    <d v="2026-02-18T00:00:00"/>
    <s v="Referral - S4 Company"/>
    <s v="São Paulo, BR"/>
    <s v="55"/>
    <m/>
    <s v="Referral"/>
    <x v="0"/>
    <x v="4"/>
  </r>
  <r>
    <s v="OPP-10156"/>
    <s v="ACC-1031"/>
    <s v="Nova Studios"/>
    <s v="Queila Ribeiro"/>
    <s v="Nova Studios -  - 05/2026"/>
    <s v="Change Order/Upsell"/>
    <s v="Opportunity Identified"/>
    <n v="0"/>
    <m/>
    <m/>
    <m/>
    <m/>
    <d v="2026-05-31T00:00:00"/>
    <d v="2026-02-03T00:00:00"/>
    <s v="Inbound - Current Client (DEPRECATED)"/>
    <s v="São Carlos, BR"/>
    <s v="43"/>
    <m/>
    <s v="Customer Success"/>
    <x v="1"/>
    <x v="0"/>
  </r>
  <r>
    <s v="OPP-10177"/>
    <s v="ACC-1064"/>
    <s v="Arrow Construction"/>
    <s v="Daniel Moura"/>
    <s v="Arrow Construction -  - 06/2026"/>
    <s v="Change Order/Upsell"/>
    <s v="Opportunity Identified"/>
    <n v="0"/>
    <m/>
    <m/>
    <m/>
    <m/>
    <d v="2026-06-30T00:00:00"/>
    <d v="2026-12-03T00:00:00"/>
    <s v="Inbound - Current Client (DEPRECATED)"/>
    <s v="São Carlos, BR"/>
    <s v="33"/>
    <m/>
    <s v="Customer Success"/>
    <x v="1"/>
    <x v="1"/>
  </r>
  <r>
    <s v="OPP-10200"/>
    <s v="ACC-1029"/>
    <s v="Zephyr Telecom"/>
    <s v="Ana Silva"/>
    <s v="Zephyr Telecom -  - 06/2026"/>
    <s v="Change Order/Upsell"/>
    <s v="Opportunity Identified"/>
    <n v="0"/>
    <m/>
    <m/>
    <m/>
    <m/>
    <d v="2026-06-30T00:00:00"/>
    <d v="2026-03-26T00:00:00"/>
    <s v="Inbound - Current Client (DEPRECATED)"/>
    <s v="São Carlos, BR"/>
    <s v="19"/>
    <s v="12"/>
    <s v="Customer Success"/>
    <x v="1"/>
    <x v="1"/>
  </r>
  <r>
    <s v="OPP-10201"/>
    <s v="ACC-1029"/>
    <s v="Zephyr Telecom"/>
    <s v="Ana Silva"/>
    <s v="Zephyr Telecom -  - 06/2026"/>
    <s v="Change Order/Upsell"/>
    <s v="Opportunity Identified"/>
    <n v="0"/>
    <m/>
    <m/>
    <m/>
    <m/>
    <d v="2026-06-30T00:00:00"/>
    <d v="2026-03-26T00:00:00"/>
    <s v="Inbound - Current Client (DEPRECATED)"/>
    <s v="São Carlos, BR"/>
    <s v="19"/>
    <m/>
    <s v="Customer Success"/>
    <x v="1"/>
    <x v="1"/>
  </r>
  <r>
    <s v="OPP-10202"/>
    <s v="ACC-1064"/>
    <s v="Arrow Construction"/>
    <s v="Daniel Moura"/>
    <s v="Arrow Construction - DDM - Media - Managed Media (AOR) - 06/2026"/>
    <s v="Change Order/Upsell"/>
    <s v="Qualified"/>
    <n v="0"/>
    <s v="BRL"/>
    <n v="0"/>
    <s v="BRL"/>
    <s v="DDM - Media - Managed Media (AOR)"/>
    <d v="2026-06-30T00:00:00"/>
    <d v="2026-03-26T00:00:00"/>
    <s v="MH Lead (DEPRECATED)"/>
    <s v="Votorantim, BR"/>
    <s v="19"/>
    <s v="12"/>
    <s v="Unknown"/>
    <x v="1"/>
    <x v="1"/>
  </r>
  <r>
    <s v="OPP-10210"/>
    <s v="ACC-1125"/>
    <s v="Company 124"/>
    <s v="Nicolas Teixeira"/>
    <s v="Company 124 -  - 05/2026"/>
    <s v="Project - Not Competitive"/>
    <s v="Opportunity Identified"/>
    <n v="0"/>
    <m/>
    <m/>
    <m/>
    <m/>
    <d v="2026-05-29T00:00:00"/>
    <d v="2026-03-30T00:00:00"/>
    <s v="Referral - Partner - Google Marketing Platform"/>
    <s v="São Paulo, BR"/>
    <s v="15"/>
    <s v="12"/>
    <s v="Referral"/>
    <x v="0"/>
    <x v="0"/>
  </r>
  <r>
    <s v="OPP-10211"/>
    <s v="ACC-1001"/>
    <s v="Eucalyptus Fintech"/>
    <s v="Nicolas Teixeira"/>
    <s v="Eucalyptus Fintech -  - 04/2026"/>
    <s v="Project - Not Competitive"/>
    <s v="Opportunity Identified"/>
    <n v="0"/>
    <m/>
    <m/>
    <m/>
    <m/>
    <d v="2026-04-29T00:00:00"/>
    <d v="2026-03-30T00:00:00"/>
    <s v="Referral - Internal"/>
    <s v="São Paulo, BR"/>
    <s v="15"/>
    <m/>
    <s v="Referral"/>
    <x v="0"/>
    <x v="5"/>
  </r>
  <r>
    <s v="OPP-10222"/>
    <s v="ACC-1067"/>
    <s v="Echo Insurance"/>
    <s v="Sofia Guimaraes"/>
    <s v="Echo Insurance -  - 06/2026"/>
    <s v="Change Order/Upsell"/>
    <s v="Opportunity Identified"/>
    <n v="0"/>
    <m/>
    <m/>
    <m/>
    <m/>
    <d v="2026-06-30T00:00:00"/>
    <d v="2026-02-04T00:00:00"/>
    <s v="Inbound - Current Client (DEPRECATED)"/>
    <s v="São Paulo, BR"/>
    <s v="12"/>
    <m/>
    <s v="Customer Success"/>
    <x v="1"/>
    <x v="1"/>
  </r>
  <r>
    <s v="OPP-10241"/>
    <s v="ACC-1081"/>
    <s v="Yarrow Health"/>
    <s v="Amanda Rios"/>
    <s v="Yarrow Health - DDM - Media - Managed Media (AOR) - 06/2026"/>
    <s v="Flex/Renewal"/>
    <s v="Pitching"/>
    <n v="695284.8"/>
    <s v="BRL"/>
    <n v="354008.4"/>
    <s v="BRL"/>
    <s v="DDM - Media - Managed Media (AOR)"/>
    <d v="2026-06-30T00:00:00"/>
    <d v="2026-10-04T00:00:00"/>
    <s v="Existing Client - Account/Growth Activity"/>
    <s v="São Carlos, BR"/>
    <s v="4"/>
    <s v="12"/>
    <s v="Customer Success"/>
    <x v="1"/>
    <x v="1"/>
  </r>
  <r>
    <s v="OPP-10241"/>
    <s v="ACC-1081"/>
    <s v="Yarrow Health"/>
    <s v="Amanda Rios"/>
    <s v="Yarrow Health - Content - Platform - Performance, SEO, CRM &amp; Loyalty - 06/2026"/>
    <s v="Flex/Renewal"/>
    <s v="Pitching"/>
    <n v="695284.8"/>
    <s v="BRL"/>
    <n v="170638.2"/>
    <s v="BRL"/>
    <s v="Content - Platform - Performance, SEO, CRM &amp; Loyalty"/>
    <d v="2026-06-30T00:00:00"/>
    <d v="2026-10-04T00:00:00"/>
    <s v="Existing Client - Account/Growth Activity"/>
    <s v="São Carlos, BR"/>
    <s v="4"/>
    <s v="12"/>
    <s v="Customer Success"/>
    <x v="1"/>
    <x v="1"/>
  </r>
  <r>
    <s v="OPP-10241"/>
    <s v="ACC-1081"/>
    <s v="Yarrow Health"/>
    <s v="Amanda Rios"/>
    <s v="Yarrow Health - DDM - Commerce - Content - 06/2026"/>
    <s v="Flex/Renewal"/>
    <s v="Pitching"/>
    <n v="695284.8"/>
    <s v="BRL"/>
    <n v="170638.2"/>
    <s v="BRL"/>
    <s v="DDM - Commerce - Content"/>
    <d v="2026-06-30T00:00:00"/>
    <d v="2026-10-04T00:00:00"/>
    <s v="Existing Client - Account/Growth Activity"/>
    <s v="São Carlos, BR"/>
    <s v="4"/>
    <s v="12"/>
    <s v="Customer Success"/>
    <x v="1"/>
    <x v="1"/>
  </r>
  <r>
    <s v="OPP-10245"/>
    <s v="ACC-1072"/>
    <s v="Ginger Realty"/>
    <s v="Amanda Rios"/>
    <s v="Ginger Realty - DDM - Media - Managed Media (AOR) - 07/2026"/>
    <s v="Flex/Renewal"/>
    <s v="Qualified"/>
    <n v="406131.72"/>
    <s v="BRL"/>
    <n v="406131.72"/>
    <s v="BRL"/>
    <s v="DDM - Media - Managed Media (AOR)"/>
    <d v="2026-07-31T00:00:00"/>
    <d v="2026-10-04T00:00:00"/>
    <s v="Existing Client - Account/Growth Activity"/>
    <s v="Votorantim, BR"/>
    <s v="4"/>
    <s v="6"/>
    <s v="Customer Success"/>
    <x v="1"/>
    <x v="8"/>
  </r>
  <r>
    <s v="OPP-10224"/>
    <s v="ACC-1091"/>
    <s v="Wren Chemicals"/>
    <s v="Karina Oliveira"/>
    <s v="Wren Chemicals -  - 05/2026"/>
    <s v="Change Order/Upsell"/>
    <s v="Opportunity Identified"/>
    <n v="0"/>
    <m/>
    <m/>
    <m/>
    <m/>
    <d v="2026-05-29T00:00:00"/>
    <d v="2026-02-04T00:00:00"/>
    <s v="MH Lead (DEPRECATED)"/>
    <s v="São Carlos, BR"/>
    <s v="12"/>
    <s v="12"/>
    <s v="Unknown"/>
    <x v="1"/>
    <x v="0"/>
  </r>
  <r>
    <s v="OPP-10230"/>
    <s v="ACC-1062"/>
    <s v="Cedar Foods"/>
    <s v="Sofia Guimaraes"/>
    <s v="Cedar Foods -  - 06/2026"/>
    <s v="Change Order/Upsell"/>
    <s v="Opportunity Identified"/>
    <n v="0"/>
    <m/>
    <m/>
    <m/>
    <m/>
    <d v="2026-06-30T00:00:00"/>
    <d v="2026-08-04T00:00:00"/>
    <s v="Website - Sales Form"/>
    <s v="Votorantim, BR"/>
    <s v="6"/>
    <s v="12"/>
    <s v="Unknown"/>
    <x v="1"/>
    <x v="1"/>
  </r>
  <r>
    <s v="OPP-10235"/>
    <s v="ACC-1029"/>
    <s v="Zephyr Telecom"/>
    <s v="Ana Silva"/>
    <s v="Zephyr Telecom - DDM - Media - Managed Media (AOR) - 06/2026"/>
    <s v="Change Order/Upsell"/>
    <s v="Qualified"/>
    <n v="0"/>
    <s v="BRL"/>
    <n v="0"/>
    <s v="BRL"/>
    <s v="DDM - Media - Managed Media (AOR)"/>
    <d v="2026-06-30T00:00:00"/>
    <d v="2026-09-04T00:00:00"/>
    <s v="MH Lead (DEPRECATED)"/>
    <s v="São Carlos, BR"/>
    <s v="5"/>
    <s v="12"/>
    <s v="Unknown"/>
    <x v="1"/>
    <x v="1"/>
  </r>
  <r>
    <s v="OPP-10233"/>
    <s v="ACC-1063"/>
    <s v="Saffron Fashion"/>
    <s v="Ana Silva"/>
    <s v="Saffron Fashion - DDM - Data - Services &amp; Tech - Services (Analytics &amp; Support) - 06/2026"/>
    <s v="Change Order/Upsell"/>
    <s v="Qualified"/>
    <n v="0"/>
    <s v="BRL"/>
    <n v="0"/>
    <s v="BRL"/>
    <s v="DDM - Data - Services &amp; Tech - Services (Analytics &amp; Support)"/>
    <d v="2026-06-30T00:00:00"/>
    <d v="2026-09-04T00:00:00"/>
    <s v="MH Lead (DEPRECATED)"/>
    <s v="São Carlos, BR"/>
    <s v="5"/>
    <s v="12"/>
    <s v="Unknown"/>
    <x v="1"/>
    <x v="1"/>
  </r>
  <r>
    <s v="OPP-10238"/>
    <s v="ACC-1090"/>
    <s v="Filbert São Paulo, BRorts"/>
    <s v="Bruno Costa"/>
    <s v="Filbert São Paulo, BRorts -  - 07/2026"/>
    <s v="Change Order/Upsell"/>
    <s v="Opportunity Identified"/>
    <n v="0"/>
    <m/>
    <m/>
    <m/>
    <m/>
    <d v="2026-07-31T00:00:00"/>
    <d v="2026-09-04T00:00:00"/>
    <s v="Existing Client - Account/Growth Activity"/>
    <s v="Votorantim, BR"/>
    <s v="5"/>
    <m/>
    <s v="Customer Success"/>
    <x v="1"/>
    <x v="8"/>
  </r>
  <r>
    <s v="OPP-10250"/>
    <s v="ACC-1018"/>
    <s v="Ivy Cloud"/>
    <s v="Karina Oliveira"/>
    <s v="Ivy Cloud - DDM - Media - Managed Media (AOR) - 07/2026"/>
    <s v="Flex/Renewal"/>
    <s v="Qualified"/>
    <n v="645960"/>
    <s v="BRL"/>
    <n v="645960"/>
    <s v="BRL"/>
    <s v="DDM - Media - Managed Media (AOR)"/>
    <d v="2026-07-31T00:00:00"/>
    <d v="2026-10-04T00:00:00"/>
    <s v="MH Lead (DEPRECATED)"/>
    <s v="Votorantim, BR"/>
    <s v="4"/>
    <s v="12"/>
    <s v="Unknown"/>
    <x v="1"/>
    <x v="8"/>
  </r>
  <r>
    <s v="OPP-10252"/>
    <s v="ACC-1013"/>
    <s v="Patchouli Energy"/>
    <s v="Joao Pereira"/>
    <s v="Patchouli Energy -  - 07/2026"/>
    <m/>
    <s v="Opportunity Identified"/>
    <n v="0"/>
    <m/>
    <m/>
    <m/>
    <m/>
    <d v="2026-01-07T00:00:00"/>
    <d v="2026-10-04T00:00:00"/>
    <s v="Referral - Personal"/>
    <s v="São Carlos, BR"/>
    <s v="4"/>
    <m/>
    <s v="Referral"/>
    <x v="1"/>
    <x v="4"/>
  </r>
  <r>
    <s v="OPP-10248"/>
    <s v="ACC-1127"/>
    <s v="Company 126"/>
    <s v="Nicolas Teixeira"/>
    <s v="Company 126 -  - 05/2026"/>
    <s v="Project - Competitive"/>
    <s v="Opportunity Identified"/>
    <n v="0"/>
    <m/>
    <m/>
    <m/>
    <m/>
    <d v="2026-10-05T00:00:00"/>
    <d v="2026-10-04T00:00:00"/>
    <s v="Referral - Internal"/>
    <s v="São Paulo, BR"/>
    <s v="4"/>
    <m/>
    <s v="Referral"/>
    <x v="0"/>
    <x v="10"/>
  </r>
  <r>
    <s v="OPP-10246"/>
    <s v="ACC-1063"/>
    <s v="Saffron Fashion"/>
    <s v="Ana Silva"/>
    <s v="Saffron Fashion -  - 06/2026"/>
    <s v="Change Order/Upsell"/>
    <s v="Opportunity Identified"/>
    <n v="0"/>
    <m/>
    <m/>
    <m/>
    <m/>
    <d v="2026-06-30T00:00:00"/>
    <d v="2026-10-04T00:00:00"/>
    <s v="MH Lead (DEPRECATED)"/>
    <s v="São Carlos, BR"/>
    <s v="4"/>
    <m/>
    <s v="Unknown"/>
    <x v="1"/>
    <x v="1"/>
  </r>
  <r>
    <s v="OPP-10247"/>
    <s v="ACC-1073"/>
    <s v="Lotus Beverages"/>
    <s v="Nicolas Teixeira"/>
    <s v="Lotus Beverages -  - 05/2026"/>
    <s v="Project - Not Competitive"/>
    <s v="Opportunity Identified"/>
    <n v="0"/>
    <m/>
    <m/>
    <m/>
    <m/>
    <d v="2026-10-05T00:00:00"/>
    <d v="2026-10-04T00:00:00"/>
    <s v="Referral - S4 Company"/>
    <s v="São Carlos, BR"/>
    <s v="4"/>
    <m/>
    <s v="Referral"/>
    <x v="0"/>
    <x v="10"/>
  </r>
  <r>
    <s v="OPP-10253"/>
    <s v="ACC-1087"/>
    <s v="Mulberry Electronics"/>
    <s v="Felipe Lima"/>
    <s v="Mulberry Electronics -  - 05/2026"/>
    <s v="Project - Competitive"/>
    <s v="Opportunity Identified"/>
    <n v="0"/>
    <m/>
    <m/>
    <m/>
    <m/>
    <d v="2026-05-13T00:00:00"/>
    <d v="2026-04-13T00:00:00"/>
    <s v="Referral - Internal"/>
    <s v="São Paulo, BR"/>
    <s v="1"/>
    <s v="12"/>
    <s v="Referral"/>
    <x v="0"/>
    <x v="0"/>
  </r>
  <r>
    <s v="OPP-10255"/>
    <s v="ACC-1128"/>
    <s v="Company 127"/>
    <s v="Felipe Lima"/>
    <s v="Company 127 - DDM - Media - Managed Media (AOR) - 05/2026"/>
    <s v="Project - Competitive"/>
    <s v="Opportunity Identified"/>
    <n v="0"/>
    <s v="BRL"/>
    <n v="0"/>
    <s v="BRL"/>
    <s v="DDM - Media - Managed Media (AOR)"/>
    <d v="2026-05-13T00:00:00"/>
    <d v="2026-04-13T00:00:00"/>
    <s v="Referral - Internal"/>
    <s v="São Carlos, BR"/>
    <s v="1"/>
    <m/>
    <s v="Referral"/>
    <x v="0"/>
    <x v="0"/>
  </r>
  <r>
    <s v="OPP-10255"/>
    <s v="ACC-1128"/>
    <s v="Company 127"/>
    <s v="Felipe Lima"/>
    <s v="Company 127 - Content - Social - AOR - 05/2026"/>
    <s v="Project - Competitive"/>
    <s v="Opportunity Identified"/>
    <n v="0"/>
    <s v="BRL"/>
    <n v="0"/>
    <s v="BRL"/>
    <s v="Content - Social - AOR"/>
    <d v="2026-05-13T00:00:00"/>
    <d v="2026-04-13T00:00:00"/>
    <s v="Referral - Internal"/>
    <s v="São Carlos, BR"/>
    <s v="1"/>
    <m/>
    <s v="Referral"/>
    <x v="0"/>
    <x v="0"/>
  </r>
  <r>
    <s v="OPP-10255"/>
    <s v="ACC-1128"/>
    <s v="Company 127"/>
    <s v="Felipe Lima"/>
    <s v="Company 127 - DDM - Media - Creative - 05/2026"/>
    <s v="Project - Competitive"/>
    <s v="Opportunity Identified"/>
    <n v="0"/>
    <s v="BRL"/>
    <n v="0"/>
    <s v="BRL"/>
    <s v="DDM - Media - Creative"/>
    <d v="2026-05-13T00:00:00"/>
    <d v="2026-04-13T00:00:00"/>
    <s v="Referral - Internal"/>
    <s v="São Carlos, BR"/>
    <s v="1"/>
    <m/>
    <s v="Referral"/>
    <x v="0"/>
    <x v="0"/>
  </r>
  <r>
    <s v="OPP-10255"/>
    <s v="ACC-1128"/>
    <s v="Company 127"/>
    <s v="Felipe Lima"/>
    <s v="Company 127 - DDM - Data - Services &amp; Tech - Services (Analytics &amp; Support) - 05/2026"/>
    <s v="Project - Competitive"/>
    <s v="Opportunity Identified"/>
    <n v="0"/>
    <s v="BRL"/>
    <n v="0"/>
    <s v="BRL"/>
    <s v="DDM - Data - Services &amp; Tech - Services (Analytics &amp; Support)"/>
    <d v="2026-05-13T00:00:00"/>
    <d v="2026-04-13T00:00:00"/>
    <s v="Referral - Internal"/>
    <s v="São Carlos, BR"/>
    <s v="1"/>
    <m/>
    <s v="Referral"/>
    <x v="0"/>
    <x v="0"/>
  </r>
  <r>
    <s v="OPP-10258"/>
    <s v="ACC-1130"/>
    <s v="Company 129"/>
    <s v="Joao Pereira"/>
    <s v="Company 129 -  - 05/2026"/>
    <s v="Project - Competitive"/>
    <s v="Opportunity Identified"/>
    <n v="0"/>
    <m/>
    <m/>
    <m/>
    <m/>
    <d v="2026-05-13T00:00:00"/>
    <d v="2026-04-13T00:00:00"/>
    <s v="Referral - Personal"/>
    <s v="Votorantim, BR"/>
    <s v="1"/>
    <m/>
    <s v="Referral"/>
    <x v="0"/>
    <x v="0"/>
  </r>
  <r>
    <s v="OPP-10257"/>
    <s v="ACC-1129"/>
    <s v="Company 128"/>
    <s v="Joao Pereira"/>
    <s v="Company 128 -  - 06/2026"/>
    <s v="Project - Competitive"/>
    <s v="Opportunity Identified"/>
    <n v="0"/>
    <m/>
    <m/>
    <m/>
    <m/>
    <d v="2026-08-06T00:00:00"/>
    <d v="2026-04-13T00:00:00"/>
    <s v="Referral - Personal"/>
    <s v="Votorantim, BR"/>
    <s v="1"/>
    <m/>
    <s v="Referral"/>
    <x v="0"/>
    <x v="11"/>
  </r>
  <r>
    <s v="OPP-10259"/>
    <s v="ACC-1002"/>
    <s v="Birch Studios"/>
    <s v="Gabriela Nunes"/>
    <s v="Birch Studios - DDM - Media - Managed Media (AOR) - 05/2026"/>
    <m/>
    <s v="Opportunity Identified"/>
    <n v="370000"/>
    <s v="USD"/>
    <n v="370000"/>
    <s v="USD"/>
    <s v="DDM - Media - Managed Media (AOR)"/>
    <d v="2026-05-31T00:00:00"/>
    <d v="2026-04-14T00:00:00"/>
    <s v="Existing Client - Account/Growth Activity"/>
    <s v="São Carlos, BR"/>
    <s v="1"/>
    <s v="12"/>
    <s v="Customer Success"/>
    <x v="1"/>
    <x v="0"/>
  </r>
  <r>
    <s v="OPP-10260"/>
    <s v="ACC-1060"/>
    <s v="Fennel Footwear"/>
    <s v="Pedro Martins"/>
    <s v="Fennel Footwear - DDM - Data - Services &amp; Tech - Platforms Reselling - 05/2026"/>
    <s v="Flex/Renewal"/>
    <s v="Registration"/>
    <n v="57011.76"/>
    <s v="BRL"/>
    <n v="57011.76"/>
    <s v="BRL"/>
    <s v="DDM - Data - Services &amp; Tech - Platforms Reselling"/>
    <d v="2026-05-14T00:00:00"/>
    <d v="2026-04-14T00:00:00"/>
    <s v="Existing Client - Account/Growth Activity"/>
    <s v="São Paulo, BR"/>
    <s v="0"/>
    <s v="12"/>
    <s v="Customer Success"/>
    <x v="1"/>
    <x v="0"/>
  </r>
  <r>
    <s v="OPP-10261"/>
    <s v="ACC-1027"/>
    <s v="Rosemary Auto"/>
    <s v="Daniel Moura"/>
    <s v="Rosemary Auto -  - 07/2026"/>
    <s v="Change Order/Upsell"/>
    <s v="Opportunity Identified"/>
    <n v="0"/>
    <m/>
    <m/>
    <m/>
    <m/>
    <d v="2026-07-31T00:00:00"/>
    <d v="2026-04-14T00:00:00"/>
    <s v="MH Lead (DEPRECATED)"/>
    <s v="São Carlos, BR"/>
    <s v="0"/>
    <m/>
    <s v="Unknown"/>
    <x v="1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13">
  <r>
    <s v="OPP-10150"/>
    <s v="ACC-1037"/>
    <s v="Acacia Telecom"/>
    <s v="Bruno Costa"/>
    <s v="Acacia Telecom - DDM - Media - Managed Media (AOR) - 04/2026"/>
    <s v="Change Order/Upsell"/>
    <s v="Registration"/>
    <n v="601599.48"/>
    <s v="BRL"/>
    <n v="95637.84"/>
    <s v="BRL"/>
    <s v="Content - Platform - Performance, SEO, CRM &amp; Loyalty"/>
    <x v="0"/>
    <d v="2026-02-26T00:00:00"/>
    <s v="Inbound - Current Client (DEPRECATED)"/>
    <s v="São Carlos, BR"/>
    <s v="42"/>
    <s v="12"/>
    <s v="Customer Success"/>
  </r>
  <r>
    <s v="OPP-10134"/>
    <s v="ACC-1064"/>
    <s v="Arrow Construction"/>
    <s v="Daniel Moura"/>
    <s v="Arrow Construction - DDM - Media - Managed Media (AOR) - 05/2026"/>
    <s v="Change Order/Upsell"/>
    <s v="Pitched"/>
    <n v="1429074.08"/>
    <s v="BRL"/>
    <n v="510758.40000000002"/>
    <s v="BRL"/>
    <s v="Content - Platform - Performance, SEO, CRM &amp; Loyalty"/>
    <x v="1"/>
    <d v="2026-02-13T00:00:00"/>
    <s v="Inbound - Current Client (DEPRECATED)"/>
    <s v="São Carlos, BR"/>
    <s v="33"/>
    <s v="12"/>
    <s v="Customer Success"/>
  </r>
  <r>
    <s v="OPP-10123"/>
    <s v="ACC-1101"/>
    <s v="Basil Sports"/>
    <s v="Xavier Correia"/>
    <s v="Basil Sports - Content - Platform - Performance, SEO, CRM &amp; Loyalty - 03/2026"/>
    <s v="Project - Not Competitive"/>
    <s v="Closed Won"/>
    <n v="50514.15"/>
    <s v="BRL"/>
    <n v="50514.15"/>
    <s v="BRL"/>
    <s v="Content - Platform - Performance, SEO, CRM &amp; Loyalty"/>
    <x v="2"/>
    <d v="2026-06-02T00:00:00"/>
    <s v="Don't Know/Other (DEPRECATED)"/>
    <s v="São Carlos, BR"/>
    <s v="19"/>
    <s v="1,5"/>
    <s v="Unknown"/>
  </r>
  <r>
    <s v="OPP-10110"/>
    <s v="ACC-1062"/>
    <s v="Cedar Foods"/>
    <s v="Daniel Moura"/>
    <s v="Cedar Foods - Content - Platform - Performance, SEO, CRM &amp; Loyalty - 06/2026"/>
    <s v="Change Order/Upsell"/>
    <s v="Pitched"/>
    <n v="4565828.57"/>
    <s v="BRL"/>
    <n v="443593.21"/>
    <s v="BRL"/>
    <s v="Content - Platform - Performance, SEO, CRM &amp; Loyalty"/>
    <x v="3"/>
    <d v="2026-01-26T00:00:00"/>
    <s v="Inbound - Current Client (DEPRECATED)"/>
    <s v="Votorantim, BR"/>
    <s v="33"/>
    <s v="12"/>
    <s v="Customer Success"/>
  </r>
  <r>
    <s v="OPP-10110"/>
    <s v="ACC-1062"/>
    <s v="Cedar Foods"/>
    <s v="Daniel Moura"/>
    <s v="Cedar Foods - Content - Platform - Performance, SEO, CRM &amp; Loyalty - 06/2026"/>
    <s v="Change Order/Upsell"/>
    <s v="Pitched"/>
    <n v="4565828.57"/>
    <s v="BRL"/>
    <n v="328515"/>
    <s v="BRL"/>
    <s v="Content - Platform - Performance, SEO, CRM &amp; Loyalty"/>
    <x v="3"/>
    <d v="2026-01-26T00:00:00"/>
    <s v="Inbound - Current Client (DEPRECATED)"/>
    <s v="Votorantim, BR"/>
    <s v="33"/>
    <s v="12"/>
    <s v="Customer Success"/>
  </r>
  <r>
    <s v="OPP-10099"/>
    <s v="ACC-1112"/>
    <s v="Company 111"/>
    <s v="Xavier Correia"/>
    <s v="Company 111 - Content - Platform - Performance, SEO, CRM &amp; Loyalty - 02/2026"/>
    <s v="Project - Competitive"/>
    <s v="Closed Won"/>
    <n v="4293965.2399999993"/>
    <s v="BRL"/>
    <n v="526427.28"/>
    <s v="BRL"/>
    <s v="Content - Platform - Performance, SEO, CRM &amp; Loyalty"/>
    <x v="4"/>
    <d v="2026-01-20T00:00:00"/>
    <s v="Referral - S4 Company"/>
    <s v="São Carlos, BR"/>
    <s v="46"/>
    <s v="12"/>
    <s v="Referral"/>
  </r>
  <r>
    <s v="OPP-10242"/>
    <s v="ACC-1115"/>
    <s v="Company 114"/>
    <s v="Xavier Correia"/>
    <s v="Company 114 - Content - Platform - Performance, SEO, CRM &amp; Loyalty - 06/2026"/>
    <s v="Project - Competitive"/>
    <s v="Pitched"/>
    <n v="877063.2"/>
    <s v="BRL"/>
    <n v="460392"/>
    <s v="BRL"/>
    <s v="Content - Platform - Performance, SEO, CRM &amp; Loyalty"/>
    <x v="3"/>
    <d v="2026-10-04T00:00:00"/>
    <s v="MH Lead (DEPRECATED)"/>
    <s v="Votorantim, BR"/>
    <s v="4"/>
    <s v="12"/>
    <s v="Unknown"/>
  </r>
  <r>
    <s v="OPP-10154"/>
    <s v="ACC-1119"/>
    <s v="Company 118"/>
    <s v="Wanda Borges"/>
    <s v="Company 118 - Content - Platform - Performance, SEO, CRM &amp; Loyalty - 05/2026"/>
    <s v="Project - Competitive"/>
    <s v="Pitched"/>
    <n v="2344909.7999999998"/>
    <s v="BRL"/>
    <n v="853158.72"/>
    <s v="BRL"/>
    <s v="Content - Platform - Performance, SEO, CRM &amp; Loyalty"/>
    <x v="1"/>
    <d v="2026-02-27T00:00:00"/>
    <s v="Inbound - Website - Media.Monks (DEPRECATED)"/>
    <s v="Votorantim, BR"/>
    <s v="15"/>
    <s v="12"/>
    <s v="Inbound"/>
  </r>
  <r>
    <s v="OPP-10154"/>
    <s v="ACC-1119"/>
    <s v="Company 118"/>
    <s v="Wanda Borges"/>
    <s v="Company 118 - Content - Platform - Performance, SEO, CRM &amp; Loyalty - 05/2026"/>
    <s v="Project - Competitive"/>
    <s v="Pitched"/>
    <n v="2344909.7999999998"/>
    <s v="BRL"/>
    <n v="211859.76"/>
    <s v="BRL"/>
    <s v="Content - Platform - Performance, SEO, CRM &amp; Loyalty"/>
    <x v="1"/>
    <d v="2026-02-27T00:00:00"/>
    <s v="Inbound - Website - Media.Monks (DEPRECATED)"/>
    <s v="Votorantim, BR"/>
    <s v="15"/>
    <s v="12"/>
    <s v="Inbound"/>
  </r>
  <r>
    <s v="OPP-10071"/>
    <s v="ACC-1050"/>
    <s v="Dune Ecommerce"/>
    <s v="Queila Ribeiro"/>
    <s v="Dune Ecommerce - Content - Platform - Performance, SEO, CRM &amp; Loyalty - 03/2026"/>
    <s v="Change Order/Upsell"/>
    <s v="Closed Won"/>
    <n v="1818447"/>
    <s v="BRL"/>
    <n v="270000"/>
    <s v="BRL"/>
    <s v="Content - Platform - Performance, SEO, CRM &amp; Loyalty"/>
    <x v="5"/>
    <d v="2025-12-15T00:00:00"/>
    <s v="Inbound - Current Client (DEPRECATED)"/>
    <s v="São Carlos, BR"/>
    <s v="21"/>
    <s v="8"/>
    <s v="Customer Success"/>
  </r>
  <r>
    <s v="OPP-10149"/>
    <s v="ACC-1050"/>
    <s v="Dune Ecommerce"/>
    <s v="Queila Ribeiro"/>
    <s v="Dune Ecommerce - Content - Platform - Website Creation &amp; Production - 03/2026"/>
    <s v="Change Order/Upsell"/>
    <s v="Registration"/>
    <n v="646888.19999999995"/>
    <s v="BRL"/>
    <n v="646888.19999999995"/>
    <s v="BRL"/>
    <s v="Content - Platform - Performance, SEO, CRM &amp; Loyalty"/>
    <x v="0"/>
    <d v="2026-02-23T00:00:00"/>
    <s v="Inbound - Current Client (DEPRECATED)"/>
    <s v="São Carlos, BR"/>
    <s v="8"/>
    <s v="12"/>
    <s v="Customer Success"/>
  </r>
  <r>
    <s v="OPP-10183"/>
    <s v="ACC-1050"/>
    <s v="Dune Ecommerce"/>
    <s v="Queila Ribeiro"/>
    <s v="Dune Ecommerce - Content - Platform - Performance, SEO, CRM &amp; Loyalty - 04/2026"/>
    <s v="Change Order/Upsell"/>
    <s v="Negotiation"/>
    <n v="296000"/>
    <s v="BRL"/>
    <n v="166000"/>
    <s v="BRL"/>
    <s v="Content - Platform - Performance, SEO, CRM &amp; Loyalty"/>
    <x v="6"/>
    <d v="2026-03-14T00:00:00"/>
    <s v="Inbound - Current Client (DEPRECATED)"/>
    <s v="São Carlos, BR"/>
    <s v="13"/>
    <s v="6"/>
    <s v="Customer Success"/>
  </r>
  <r>
    <s v="OPP-10148"/>
    <s v="ACC-1050"/>
    <s v="Dune Ecommerce"/>
    <s v="Queila Ribeiro"/>
    <s v="Dune Ecommerce - Content - Platform - Website Creation &amp; Production - 05/2026"/>
    <s v="Flex/Renewal"/>
    <s v="Registration"/>
    <n v="2281464.96"/>
    <s v="BRL"/>
    <n v="2281464.96"/>
    <s v="BRL"/>
    <s v="Content - Platform - Performance, SEO, CRM &amp; Loyalty"/>
    <x v="0"/>
    <d v="2026-02-23T00:00:00"/>
    <s v="Inbound - Current Client (DEPRECATED)"/>
    <s v="São Carlos, BR"/>
    <s v="8"/>
    <s v="12"/>
    <s v="Customer Success"/>
  </r>
  <r>
    <s v="OPP-10029"/>
    <s v="ACC-1022"/>
    <s v="Ember Hospitality"/>
    <s v="Sofia Guimaraes"/>
    <s v="Ember Hospitality - Content - Platform - Performance, SEO, CRM &amp; Loyalty - 04/2026"/>
    <s v="Change Order/Upsell"/>
    <s v="Closed Won"/>
    <n v="1653085.7999999998"/>
    <s v="BRL"/>
    <n v="732711.84"/>
    <s v="BRL"/>
    <s v="Content - Platform - Performance, SEO, CRM &amp; Loyalty"/>
    <x v="7"/>
    <d v="2025-10-24T00:00:00"/>
    <s v="Inbound - Current Client (DEPRECATED)"/>
    <s v="São Carlos, BR"/>
    <s v="1"/>
    <s v="10"/>
    <s v="Customer Success"/>
  </r>
  <r>
    <s v="OPP-10208"/>
    <s v="ACC-1053"/>
    <s v="Hemlock Insurance"/>
    <s v="Bernardo Castro"/>
    <s v="Hemlock Insurance - DDM - Data - Services &amp; Tech - Services (Analytics &amp; Support) - 06/2026"/>
    <s v="Change Order/Upsell"/>
    <s v="Pitched"/>
    <n v="492000"/>
    <s v="BRL"/>
    <n v="492000"/>
    <s v="BRL"/>
    <s v="Content - Platform - Performance, SEO, CRM &amp; Loyalty"/>
    <x v="6"/>
    <d v="2026-03-30T00:00:00"/>
    <s v="Inbound - Current Client (DEPRECATED) "/>
    <s v="São Carlos, BR"/>
    <s v="5"/>
    <s v="12"/>
    <s v="Customer Success"/>
  </r>
  <r>
    <s v="OPP-10106"/>
    <s v="ACC-1023"/>
    <s v="Iris Delivery"/>
    <s v="Amanda Rios"/>
    <s v="Iris Delivery - DDM - Data - Services &amp; Tech - Services (Analytics &amp; Support) - 04/2026"/>
    <s v="Change Order/Upsell"/>
    <s v="Closed Won"/>
    <n v="77204.399999999994"/>
    <s v="BRL"/>
    <n v="77204.399999999994"/>
    <s v="BRL"/>
    <s v="Content - Platform - Performance, SEO, CRM &amp; Loyalty"/>
    <x v="8"/>
    <d v="2026-01-22T00:00:00"/>
    <s v="Inbound - Current Client (DEPRECATED)"/>
    <s v="Votorantim, BR"/>
    <s v="40"/>
    <s v="12"/>
    <s v="Customer Success"/>
  </r>
  <r>
    <s v="OPP-10050"/>
    <s v="ACC-1045"/>
    <s v="Jasper Security"/>
    <s v="Felipe Lima"/>
    <s v="Jasper Security - Content - Platform - Performance, SEO, CRM &amp; Loyalty - 05/2026"/>
    <s v="Project - Competitive"/>
    <s v="Negotiation"/>
    <n v="6208423.2000000002"/>
    <s v="BRL"/>
    <n v="1026107.52"/>
    <s v="BRL"/>
    <s v="Content - Platform - Performance, SEO, CRM &amp; Loyalty"/>
    <x v="9"/>
    <d v="2025-11-26T00:00:00"/>
    <s v="Referral - Internal"/>
    <s v="Votorantim, BR"/>
    <s v="64"/>
    <s v="12"/>
    <s v="Referral"/>
  </r>
  <r>
    <s v="OPP-10035"/>
    <s v="ACC-1010"/>
    <s v="Juniper Data"/>
    <s v="Lucas Almeida"/>
    <s v="Juniper Data - Content - Platform - Performance, SEO, CRM &amp; Loyalty - 06/2026"/>
    <s v="Project - Competitive"/>
    <s v="Negotiation"/>
    <n v="286464"/>
    <s v="BRL"/>
    <n v="12000"/>
    <s v="BRL"/>
    <s v="Content - Platform - Performance, SEO, CRM &amp; Loyalty"/>
    <x v="10"/>
    <d v="2025-03-11T00:00:00"/>
    <s v="Industry Event"/>
    <s v="São Carlos, BR"/>
    <s v="134"/>
    <s v="24"/>
    <s v="Event"/>
  </r>
  <r>
    <s v="OPP-10108"/>
    <s v="ACC-1099"/>
    <s v="Kiwi Logistics"/>
    <s v="Yasmin Nogueira"/>
    <s v="Kiwi Logistics - Content - Platform - Performance, SEO, CRM &amp; Loyalty - 05/2026"/>
    <s v="Project - Competitive"/>
    <s v="Closed Won"/>
    <n v="75753.77"/>
    <s v="BRL"/>
    <n v="75753.77"/>
    <s v="BRL"/>
    <s v="Content - Platform - Performance, SEO, CRM &amp; Loyalty"/>
    <x v="11"/>
    <d v="2026-01-23T00:00:00"/>
    <s v="Referral - S4 Company"/>
    <s v="São Carlos, BR"/>
    <s v="14"/>
    <s v="3"/>
    <s v="Referral"/>
  </r>
  <r>
    <s v="OPP-10019"/>
    <s v="ACC-1099"/>
    <s v="Kiwi Logistics"/>
    <s v="Xavier Correia"/>
    <s v="Kiwi Logistics - Content - Platform - Performance, SEO, CRM &amp; Loyalty - 03/2026"/>
    <s v="Project - Not Competitive"/>
    <s v="Registration"/>
    <n v="42721.49"/>
    <s v="BRL"/>
    <n v="42721.49"/>
    <s v="BRL"/>
    <s v="Content - Platform - Performance, SEO, CRM &amp; Loyalty"/>
    <x v="12"/>
    <d v="2025-01-10T00:00:00"/>
    <s v="Referral - S4 Company"/>
    <s v="São Carlos, BR"/>
    <s v="175"/>
    <s v="2"/>
    <s v="Referral"/>
  </r>
  <r>
    <s v="OPP-10144"/>
    <s v="ACC-1041"/>
    <s v="Linden Foods"/>
    <s v="Amanda Rios"/>
    <s v="Linden Foods - Content - Platform - Performance, SEO, CRM &amp; Loyalty - 05/2026"/>
    <s v="Flex/Renewal"/>
    <s v="Negotiation"/>
    <n v="1926466.8"/>
    <s v="BRL"/>
    <n v="464061.12"/>
    <s v="BRL"/>
    <s v="Content - Platform - Performance, SEO, CRM &amp; Loyalty"/>
    <x v="6"/>
    <d v="2026-02-20T00:00:00"/>
    <s v="Inbound - Current Client (DEPRECATED)"/>
    <s v="São Carlos, BR"/>
    <s v="26"/>
    <s v="12"/>
    <s v="Customer Success"/>
  </r>
  <r>
    <s v="OPP-10118"/>
    <s v="ACC-1066"/>
    <s v="Magnolia Retail"/>
    <s v="Carla Mendes"/>
    <s v="Magnolia Retail - Content - Platform - Performance, SEO, CRM &amp; Loyalty - 05/2026"/>
    <s v="Change Order/Upsell"/>
    <s v="Pitched"/>
    <n v="795900.24"/>
    <s v="BRL"/>
    <n v="45000"/>
    <s v="BRL"/>
    <s v="Content - Platform - Performance, SEO, CRM &amp; Loyalty"/>
    <x v="6"/>
    <d v="2026-04-02T00:00:00"/>
    <s v="Inbound - Current Client (DEPRECATED)"/>
    <s v="São Carlos, BR"/>
    <s v="69"/>
    <s v="3"/>
    <s v="Customer Success"/>
  </r>
  <r>
    <s v="OPP-10055"/>
    <s v="ACC-1084"/>
    <s v="Nigella Security"/>
    <s v="Bruno Costa"/>
    <s v="Nigella Security - DDM - Media - Managed Media (AOR) - 05/2026"/>
    <s v="Change Order/Upsell"/>
    <s v="Pitching"/>
    <n v="192000"/>
    <s v="BRL"/>
    <n v="192000"/>
    <s v="BRL"/>
    <s v="Content - Platform - Performance, SEO, CRM &amp; Loyalty"/>
    <x v="6"/>
    <d v="2025-11-28T00:00:00"/>
    <s v="Inbound - Current Client (DEPRECATED)"/>
    <s v="São Carlos, BR"/>
    <s v="137"/>
    <s v="12"/>
    <s v="Customer Success"/>
  </r>
  <r>
    <s v="OPP-10057"/>
    <s v="ACC-1031"/>
    <s v="Nova Studios"/>
    <s v="Queila Ribeiro"/>
    <s v="Nova Studios - DDM - Data - Services &amp; Tech - Services (Analytics &amp; Support) - 03/2026"/>
    <s v="Change Order/Upsell"/>
    <s v="Negotiation"/>
    <n v="3015949.3200000003"/>
    <s v="BRL"/>
    <n v="1885842.96"/>
    <s v="BRL"/>
    <s v="Content - Platform - Performance, SEO, CRM &amp; Loyalty"/>
    <x v="13"/>
    <d v="2025-01-12T00:00:00"/>
    <s v="Inbound - Current Client (DEPRECATED)"/>
    <s v="São Carlos, BR"/>
    <s v="134"/>
    <s v="12"/>
    <s v="Customer Success"/>
  </r>
  <r>
    <s v="OPP-10012"/>
    <s v="ACC-1056"/>
    <s v="Orion Bank"/>
    <s v="Carla Mendes"/>
    <s v="Orion Bank - Content - Platform - Performance, SEO, CRM &amp; Loyalty - 03/2026"/>
    <s v="Change Order/Upsell"/>
    <s v="Closed Won"/>
    <n v="222000"/>
    <s v="BRL"/>
    <n v="222000"/>
    <s v="BRL"/>
    <s v="Content - Platform - Performance, SEO, CRM &amp; Loyalty"/>
    <x v="14"/>
    <d v="2025-09-09T00:00:00"/>
    <s v="Inbound - Current Client (DEPRECATED)"/>
    <s v="Votorantim, BR"/>
    <s v="36"/>
    <s v="8"/>
    <s v="Customer Success"/>
  </r>
  <r>
    <s v="OPP-10140"/>
    <s v="ACC-1071"/>
    <s v="Pomelo Ecommerce"/>
    <s v="Wanda Borges"/>
    <s v="Pomelo Ecommerce - Content - Platform - Performance, SEO, CRM &amp; Loyalty - 05/2026"/>
    <s v="Project - Not Competitive"/>
    <s v="Pitching"/>
    <n v="149540.79"/>
    <s v="BRL"/>
    <n v="149540.79"/>
    <s v="BRL"/>
    <s v="Content - Platform - Performance, SEO, CRM &amp; Loyalty"/>
    <x v="15"/>
    <d v="2026-02-18T00:00:00"/>
    <s v="Referral - S4 Company"/>
    <s v="São Carlos, BR"/>
    <s v="55"/>
    <s v="3"/>
    <s v="Referral"/>
  </r>
  <r>
    <s v="OPP-10024"/>
    <s v="ACC-1051"/>
    <s v="Pyrite Fintech"/>
    <s v="Karina Oliveira"/>
    <s v="Pyrite Fintech - Content - Platform - Performance, SEO, CRM &amp; Loyalty - 04/2026"/>
    <s v="Change Order/Upsell"/>
    <s v="Registration"/>
    <n v="593400"/>
    <s v="BRL"/>
    <n v="345148.56"/>
    <s v="BRL"/>
    <s v="Content - Platform - Performance, SEO, CRM &amp; Loyalty"/>
    <x v="0"/>
    <d v="2025-10-10T00:00:00"/>
    <s v="Inbound - Current Client (DEPRECATED)"/>
    <s v="São Carlos, BR"/>
    <s v="127"/>
    <s v="12"/>
    <s v="Customer Success"/>
  </r>
  <r>
    <s v="OPP-10169"/>
    <s v="ACC-1017"/>
    <s v="Quince Travel"/>
    <s v="Pedro Martins"/>
    <s v="Quince Travel - Content - Platform - Performance, SEO, CRM &amp; Loyalty - 04/2026"/>
    <s v="Flex/Renewal"/>
    <s v="Registration"/>
    <n v="2510326.92"/>
    <s v="BRL"/>
    <n v="236040.72"/>
    <s v="BRL"/>
    <s v="Content - Platform - Performance, SEO, CRM &amp; Loyalty"/>
    <x v="0"/>
    <d v="2026-06-03T00:00:00"/>
    <s v="Inbound - Current Client (DEPRECATED)"/>
    <s v="São Carlos, BR"/>
    <s v="39"/>
    <s v="12"/>
    <s v="Customer Success"/>
  </r>
  <r>
    <s v="OPP-10169"/>
    <s v="ACC-1017"/>
    <s v="Quince Travel"/>
    <s v="Pedro Martins"/>
    <s v="Quince Travel - Content - Platform - Performance, SEO, CRM &amp; Loyalty - 04/2026"/>
    <s v="Flex/Renewal"/>
    <s v="Registration"/>
    <n v="2510326.92"/>
    <s v="BRL"/>
    <n v="450126.12"/>
    <s v="BRL"/>
    <s v="Content - Platform - Performance, SEO, CRM &amp; Loyalty"/>
    <x v="0"/>
    <d v="2026-06-03T00:00:00"/>
    <s v="Inbound - Current Client (DEPRECATED)"/>
    <s v="São Carlos, BR"/>
    <s v="39"/>
    <s v="12"/>
    <s v="Customer Success"/>
  </r>
  <r>
    <s v="OPP-10030"/>
    <s v="ACC-1100"/>
    <s v="Ramson Gaming"/>
    <s v="Felipe Lima"/>
    <s v="Ramson Gaming - Content - Platform - Performance, SEO, CRM &amp; Loyalty - 06/2026"/>
    <s v="Project - Not Competitive"/>
    <s v="Pitched"/>
    <n v="645420"/>
    <s v="BRL"/>
    <n v="645420"/>
    <s v="BRL"/>
    <s v="Content - Platform - Performance, SEO, CRM &amp; Loyalty"/>
    <x v="16"/>
    <d v="2025-10-27T00:00:00"/>
    <s v="Referral - Internal"/>
    <s v="São Carlos, BR"/>
    <s v="148"/>
    <s v="12"/>
    <s v="Referral"/>
  </r>
  <r>
    <s v="OPP-10186"/>
    <s v="ACC-1063"/>
    <s v="Saffron Fashion"/>
    <s v="Ana Silva"/>
    <s v="Saffron Fashion - DDM - Data - Services &amp; Tech - Services (Analytics &amp; Support) - 01/2026"/>
    <s v="Change Order/Upsell"/>
    <s v="Negotiation"/>
    <n v="2316291.86"/>
    <s v="BRL"/>
    <n v="2316291.86"/>
    <s v="BRL"/>
    <s v="Content - Platform - Performance, SEO, CRM &amp; Loyalty"/>
    <x v="6"/>
    <d v="2026-03-19T00:00:00"/>
    <s v="Inbound - Current Client (DEPRECATED)"/>
    <s v="São Carlos, BR"/>
    <s v="5"/>
    <s v="12"/>
    <s v="Customer Success"/>
  </r>
  <r>
    <s v="OPP-10017"/>
    <s v="ACC-1063"/>
    <s v="Saffron Fashion"/>
    <s v="Ana Silva"/>
    <s v="Saffron Fashion - DDM - Media - Creative - 01/2026"/>
    <s v="Change Order/Upsell"/>
    <s v="Closed Won"/>
    <n v="1157087.3999999999"/>
    <s v="BRL"/>
    <n v="926822.40000000002"/>
    <s v="BRL"/>
    <s v="Content - Platform - Performance, SEO, CRM &amp; Loyalty"/>
    <x v="17"/>
    <d v="2025-09-25T00:00:00"/>
    <s v="Inbound - Current Client (DEPRECATED)"/>
    <s v="São Carlos, BR"/>
    <s v="99"/>
    <s v="12"/>
    <s v="Customer Success"/>
  </r>
  <r>
    <s v="OPP-10072"/>
    <s v="ACC-1063"/>
    <s v="Saffron Fashion"/>
    <s v="Ana Silva"/>
    <s v="Saffron Fashion - DDM - Media - Managed Media (AOR) - 01/2026"/>
    <s v="Flex/Renewal"/>
    <s v="Closed Won"/>
    <n v="6770269.9100000001"/>
    <s v="BRL"/>
    <n v="455478.43"/>
    <s v="BRL"/>
    <s v="Content - Platform - Performance, SEO, CRM &amp; Loyalty"/>
    <x v="18"/>
    <d v="2025-12-15T00:00:00"/>
    <s v="Inbound - Current Client (DEPRECATED)"/>
    <s v="São Carlos, BR"/>
    <s v="77"/>
    <s v="12"/>
    <s v="Customer Success"/>
  </r>
  <r>
    <s v="OPP-10089"/>
    <s v="ACC-1105"/>
    <s v="Velvet Cosmetics"/>
    <s v="Felipe Lima"/>
    <s v="Velvet Cosmetics - Content - Platform - Performance, SEO, CRM &amp; Loyalty - 06/2026"/>
    <s v="Project - Not Competitive"/>
    <s v="Pitched"/>
    <n v="520000"/>
    <s v="BRL"/>
    <n v="520000"/>
    <s v="BRL"/>
    <s v="Content - Platform - Performance, SEO, CRM &amp; Loyalty"/>
    <x v="16"/>
    <d v="2026-12-01T00:00:00"/>
    <s v="Don't Know/Other (DEPRECATED)"/>
    <s v="São Carlos, BR"/>
    <s v="64"/>
    <s v="2"/>
    <s v="Unknown"/>
  </r>
  <r>
    <s v="OPP-10119"/>
    <s v="ACC-1021"/>
    <s v="Violet Agriculture"/>
    <s v="Carla Mendes"/>
    <s v="Violet Agriculture - DDM - Media - Activation - Platforms Reselling - 03/2026"/>
    <s v="Change Order/Upsell"/>
    <s v="Pitched"/>
    <n v="97858.559999999998"/>
    <s v="BRL"/>
    <n v="97858.559999999998"/>
    <s v="BRL"/>
    <s v="Content - Platform - Performance, SEO, CRM &amp; Loyalty"/>
    <x v="6"/>
    <d v="2026-04-02T00:00:00"/>
    <s v="Inbound - Current Client (DEPRECATED)"/>
    <s v="São Carlos, BR"/>
    <s v="32"/>
    <s v="12"/>
    <s v="Customer Success"/>
  </r>
  <r>
    <s v="OPP-10159"/>
    <s v="ACC-1111"/>
    <s v="Walnut Manufacturing"/>
    <s v="Wanda Borges"/>
    <s v="Walnut Manufacturing - Content - Platform - Performance, SEO, CRM &amp; Loyalty - 05/2026"/>
    <s v="Project - Competitive"/>
    <s v="Pitched"/>
    <n v="2133050.04"/>
    <s v="BRL"/>
    <n v="853158.72"/>
    <s v="BRL"/>
    <s v="Content - Platform - Performance, SEO, CRM &amp; Loyalty"/>
    <x v="1"/>
    <d v="2026-03-03T00:00:00"/>
    <s v="Inbound - Website - Media.Monks (DEPRECATED)"/>
    <s v="Votorantim, BR"/>
    <s v="15"/>
    <s v="12"/>
    <s v="Inbound"/>
  </r>
  <r>
    <s v="OPP-10174"/>
    <s v="ACC-1006"/>
    <s v="Willow Beauty"/>
    <s v="Bruno Costa"/>
    <s v="Willow Beauty - DDM - Commerce - Content - 04/2026"/>
    <s v="Project - Not Competitive"/>
    <s v="Pitching"/>
    <n v="88000"/>
    <s v="BRL"/>
    <n v="88000"/>
    <s v="BRL"/>
    <s v="Content - Platform - Performance, SEO, CRM &amp; Loyalty"/>
    <x v="16"/>
    <d v="2026-11-03T00:00:00"/>
    <s v="Referral - S4 Company"/>
    <s v="São Carlos, BR"/>
    <s v="29"/>
    <s v="2"/>
    <s v="Referral"/>
  </r>
  <r>
    <s v="OPP-10171"/>
    <s v="ACC-1091"/>
    <s v="Wren Chemicals"/>
    <s v="Karina Oliveira"/>
    <s v="Wren Chemicals - Content - Platform - Performance, SEO, CRM &amp; Loyalty - 06/2026"/>
    <s v="Flex/Renewal"/>
    <s v="Registration"/>
    <n v="1993383.1199999999"/>
    <s v="BRL"/>
    <n v="320220.59999999998"/>
    <s v="BRL"/>
    <s v="Content - Platform - Performance, SEO, CRM &amp; Loyalty"/>
    <x v="19"/>
    <d v="2026-09-03T00:00:00"/>
    <s v="Inbound - Current Client (DEPRECATED)"/>
    <s v="São Carlos, BR"/>
    <s v="15"/>
    <s v="12"/>
    <s v="Customer Success"/>
  </r>
  <r>
    <s v="OPP-10207"/>
    <s v="ACC-1043"/>
    <s v="Xanadu Media"/>
    <s v="Bernardo Castro"/>
    <s v="Xanadu Media - DDM - Commerce - Content - 06/2026"/>
    <s v="Change Order/Upsell"/>
    <s v="Pitched"/>
    <n v="838800"/>
    <s v="BRL"/>
    <n v="248400"/>
    <s v="BRL"/>
    <s v="Content - Platform - Performance, SEO, CRM &amp; Loyalty"/>
    <x v="3"/>
    <d v="2026-03-30T00:00:00"/>
    <s v="Prospecting - Current Client (DEPRECATED)"/>
    <s v="Votorantim, BR"/>
    <s v="5"/>
    <s v="12"/>
    <s v="Customer Success"/>
  </r>
  <r>
    <s v="OPP-10241"/>
    <s v="ACC-1081"/>
    <s v="Yarrow Health"/>
    <s v="Amanda Rios"/>
    <s v="Yarrow Health - Content - Platform - Performance, SEO, CRM &amp; Loyalty - 06/2026"/>
    <s v="Flex/Renewal"/>
    <s v="Pitching"/>
    <n v="695284.8"/>
    <s v="BRL"/>
    <n v="170638.2"/>
    <s v="BRL"/>
    <s v="Content - Platform - Performance, SEO, CRM &amp; Loyalty"/>
    <x v="3"/>
    <d v="2026-10-04T00:00:00"/>
    <s v="Existing Client - Account/Growth Activity"/>
    <s v="São Carlos, BR"/>
    <s v="4"/>
    <s v="12"/>
    <s v="Customer Success"/>
  </r>
  <r>
    <s v="OPP-10172"/>
    <s v="ACC-1085"/>
    <s v="Yumberry Mobile"/>
    <s v="Felipe Lima"/>
    <s v="Yumberry Mobile - Content - Platform - Performance, SEO, CRM &amp; Loyalty - 05/2026"/>
    <s v="Project - Competitive"/>
    <s v="Negotiation"/>
    <n v="835250.32000000007"/>
    <s v="BRL"/>
    <n v="150756"/>
    <s v="BRL"/>
    <s v="Content - Platform - Performance, SEO, CRM &amp; Loyalty"/>
    <x v="9"/>
    <d v="2026-11-03T00:00:00"/>
    <s v="Referral - Internal"/>
    <s v="São Carlos, BR"/>
    <s v="25"/>
    <s v="12"/>
    <s v="Referral"/>
  </r>
  <r>
    <s v="OPP-10043"/>
    <s v="ACC-1029"/>
    <s v="Zephyr Telecom"/>
    <s v="Ana Silva"/>
    <s v="Zephyr Telecom - DDM - Data - Services &amp; Tech - Services (Analytics &amp; Support) - 03/2026"/>
    <s v="Flex/Renewal"/>
    <s v="Closed Won"/>
    <n v="4260383.32"/>
    <s v="BRL"/>
    <n v="964773.66"/>
    <s v="BRL"/>
    <s v="Content - Platform - Performance, SEO, CRM &amp; Loyalty"/>
    <x v="14"/>
    <d v="2025-11-14T00:00:00"/>
    <s v="Inbound - Current Client (DEPRECATED)"/>
    <s v="São Carlos, BR"/>
    <s v="36"/>
    <s v="12"/>
    <s v="Customer Success"/>
  </r>
  <r>
    <s v="OPP-10045"/>
    <s v="ACC-1029"/>
    <s v="Zephyr Telecom"/>
    <s v="Ana Silva"/>
    <s v="Zephyr Telecom - Content - Social - Project - 02/2026"/>
    <s v="Flex/Renewal"/>
    <s v="Closed Won"/>
    <n v="3785206.2099999995"/>
    <s v="BRL"/>
    <n v="249048.07"/>
    <s v="BRL"/>
    <s v="Content - Platform - Performance, SEO, CRM &amp; Loyalty"/>
    <x v="20"/>
    <d v="2025-11-14T00:00:00"/>
    <s v="Inbound - Current Client (DEPRECATED)"/>
    <s v="São Carlos, BR"/>
    <s v="60"/>
    <s v="12"/>
    <s v="Customer Success"/>
  </r>
  <r>
    <s v="OPP-10227"/>
    <s v="ACC-1029"/>
    <s v="Zephyr Telecom"/>
    <s v="Ana Silva"/>
    <s v="Zephyr Telecom - Content - Platform - Performance, SEO, CRM &amp; Loyalty - 02/2026"/>
    <s v="Change Order/Upsell"/>
    <s v="Registration"/>
    <n v="1555491.6"/>
    <s v="BRL"/>
    <n v="1555491.6"/>
    <s v="BRL"/>
    <s v="Content - Platform - Performance, SEO, CRM &amp; Loyalty"/>
    <x v="3"/>
    <d v="2026-06-04T00:00:00"/>
    <s v="Existing Client - Account/Growth Activity"/>
    <s v="São Carlos, BR"/>
    <s v="1"/>
    <s v="12"/>
    <s v="Customer Success"/>
  </r>
  <r>
    <s v="OPP-10094"/>
    <s v="ACC-1029"/>
    <s v="Zephyr Telecom"/>
    <s v="Ana Silva"/>
    <s v="Zephyr Telecom - DDM - Media - Managed Media (AOR) - 03/2026"/>
    <s v="Change Order/Upsell"/>
    <s v="Closed Won"/>
    <n v="297244.79999999999"/>
    <s v="BRL"/>
    <n v="297244.79999999999"/>
    <s v="BRL"/>
    <s v="Content - Platform - Performance, SEO, CRM &amp; Loyalty"/>
    <x v="5"/>
    <d v="2026-01-15T00:00:00"/>
    <s v="Inbound - Current Client (DEPRECATED)"/>
    <s v="São Carlos, BR"/>
    <s v="21"/>
    <s v="12"/>
    <s v="Customer Success"/>
  </r>
  <r>
    <s v="OPP-10099"/>
    <s v="ACC-1112"/>
    <s v="Company 111"/>
    <s v="Xavier Correia"/>
    <s v="Company 111 - Content - Platform - Service &amp; Maintenance - 02/2026"/>
    <s v="Project - Competitive"/>
    <s v="Closed Won"/>
    <n v="4293965.2399999993"/>
    <s v="BRL"/>
    <n v="375767.72"/>
    <s v="BRL"/>
    <s v="Content - Platform - Service &amp; Maintenance"/>
    <x v="4"/>
    <d v="2026-01-20T00:00:00"/>
    <s v="Referral - S4 Company"/>
    <s v="São Carlos, BR"/>
    <s v="46"/>
    <s v="12"/>
    <s v="Referral"/>
  </r>
  <r>
    <s v="OPP-10029"/>
    <s v="ACC-1022"/>
    <s v="Ember Hospitality"/>
    <s v="Sofia Guimaraes"/>
    <s v="Ember Hospitality - Content - Platform - Service &amp; Maintenance - 04/2026"/>
    <s v="Change Order/Upsell"/>
    <s v="Closed Won"/>
    <n v="1653085.7999999998"/>
    <s v="BRL"/>
    <n v="561203.64"/>
    <s v="BRL"/>
    <s v="Content - Platform - Service &amp; Maintenance"/>
    <x v="7"/>
    <d v="2025-10-24T00:00:00"/>
    <s v="Inbound - Current Client (DEPRECATED)"/>
    <s v="São Carlos, BR"/>
    <s v="1"/>
    <s v="10"/>
    <s v="Customer Success"/>
  </r>
  <r>
    <s v="OPP-10169"/>
    <s v="ACC-1017"/>
    <s v="Quince Travel"/>
    <s v="Pedro Martins"/>
    <s v="Quince Travel - Content - Platform - Service &amp; Maintenance - 04/2026"/>
    <s v="Flex/Renewal"/>
    <s v="Registration"/>
    <n v="2510326.92"/>
    <s v="BRL"/>
    <n v="340710.12"/>
    <s v="BRL"/>
    <s v="Content - Platform - Service &amp; Maintenance"/>
    <x v="0"/>
    <d v="2026-06-03T00:00:00"/>
    <s v="Inbound - Current Client (DEPRECATED)"/>
    <s v="São Carlos, BR"/>
    <s v="39"/>
    <s v="12"/>
    <s v="Customer Success"/>
  </r>
  <r>
    <s v="OPP-10193"/>
    <s v="ACC-1122"/>
    <s v="Company 121"/>
    <s v="Joao Pereira"/>
    <s v="Company 121 - DDM - Media - Managed Media (AOR) - 05/2026"/>
    <s v="Project - Competitive"/>
    <s v="Pitched"/>
    <n v="260468.47999999998"/>
    <s v="BRL"/>
    <n v="128427.48"/>
    <s v="BRL"/>
    <s v="Content - Platform - Website Creation &amp; Production"/>
    <x v="21"/>
    <d v="2026-03-23T00:00:00"/>
    <s v="Referral - Internal"/>
    <s v="São Carlos, BR"/>
    <s v="18"/>
    <s v="12"/>
    <s v="Referral"/>
  </r>
  <r>
    <s v="OPP-10193"/>
    <s v="ACC-1122"/>
    <s v="Company 121"/>
    <s v="Joao Pereira"/>
    <s v="Company 121 - DDM - Data - Services &amp; Tech - Services (Analytics &amp; Support) - 05/2026"/>
    <s v="Project - Competitive"/>
    <s v="Pitched"/>
    <n v="260468.47999999998"/>
    <s v="BRL"/>
    <n v="132041"/>
    <s v="BRL"/>
    <s v="Content - Platform - Website Creation &amp; Production"/>
    <x v="21"/>
    <d v="2026-03-23T00:00:00"/>
    <s v="Referral - Internal"/>
    <s v="São Carlos, BR"/>
    <s v="18"/>
    <s v="12"/>
    <s v="Referral"/>
  </r>
  <r>
    <s v="OPP-10158"/>
    <s v="ACC-1098"/>
    <s v="Delta Streaming"/>
    <s v="Karina Oliveira"/>
    <s v="Delta Streaming - Content - Platform - Website Creation &amp; Production - 04/2026"/>
    <s v="Change Order/Upsell"/>
    <s v="Pitched"/>
    <n v="322882"/>
    <s v="BRL"/>
    <n v="322882"/>
    <s v="BRL"/>
    <s v="Content - Platform - Website Creation &amp; Production"/>
    <x v="22"/>
    <d v="2026-02-03T00:00:00"/>
    <s v="Inbound - Current Client (DEPRECATED)"/>
    <s v="São Carlos, BR"/>
    <s v="36"/>
    <s v="5"/>
    <s v="Customer Success"/>
  </r>
  <r>
    <s v="OPP-10071"/>
    <s v="ACC-1050"/>
    <s v="Dune Ecommerce"/>
    <s v="Queila Ribeiro"/>
    <s v="Dune Ecommerce - Content - Platform - Website Creation &amp; Production - 03/2026"/>
    <s v="Change Order/Upsell"/>
    <s v="Closed Won"/>
    <n v="1818447"/>
    <s v="BRL"/>
    <n v="1472367.11"/>
    <s v="BRL"/>
    <s v="Content - Platform - Website Creation &amp; Production"/>
    <x v="5"/>
    <d v="2025-12-15T00:00:00"/>
    <s v="Inbound - Current Client (DEPRECATED)"/>
    <s v="São Carlos, BR"/>
    <s v="21"/>
    <s v="8"/>
    <s v="Customer Success"/>
  </r>
  <r>
    <s v="OPP-10183"/>
    <s v="ACC-1050"/>
    <s v="Dune Ecommerce"/>
    <s v="Queila Ribeiro"/>
    <s v="Dune Ecommerce - Content - Platform - Performance, SEO, CRM &amp; Loyalty - 04/2026"/>
    <s v="Change Order/Upsell"/>
    <s v="Negotiation"/>
    <n v="296000"/>
    <s v="BRL"/>
    <n v="110000"/>
    <s v="BRL"/>
    <s v="Content - Platform - Website Creation &amp; Production"/>
    <x v="6"/>
    <d v="2026-03-14T00:00:00"/>
    <s v="Inbound - Current Client (DEPRECATED)"/>
    <s v="São Carlos, BR"/>
    <s v="13"/>
    <s v="6"/>
    <s v="Customer Success"/>
  </r>
  <r>
    <s v="OPP-10079"/>
    <s v="ACC-1050"/>
    <s v="Dune Ecommerce"/>
    <s v="Queila Ribeiro"/>
    <s v="Dune Ecommerce - Content - Platform - Performance, SEO, CRM &amp; Loyalty - 05/2026"/>
    <s v="Change Order/Upsell"/>
    <s v="Closed Won"/>
    <n v="108985.08"/>
    <s v="BRL"/>
    <n v="108985.08"/>
    <s v="BRL"/>
    <s v="Content - Platform - Website Creation &amp; Production"/>
    <x v="5"/>
    <d v="2025-12-19T00:00:00"/>
    <s v="Inbound - Current Client (DEPRECATED)"/>
    <s v="São Carlos, BR"/>
    <s v="21"/>
    <s v="2"/>
    <s v="Customer Success"/>
  </r>
  <r>
    <s v="OPP-10157"/>
    <s v="ACC-1050"/>
    <s v="Dune Ecommerce"/>
    <s v="Queila Ribeiro"/>
    <s v="Dune Ecommerce - DDM - Data - Services &amp; Tech - Services (Analytics &amp; Support) - 05/2026"/>
    <s v="Change Order/Upsell"/>
    <s v="Pitched"/>
    <n v="50000"/>
    <s v="BRL"/>
    <n v="50000"/>
    <s v="BRL"/>
    <s v="Content - Platform - Website Creation &amp; Production"/>
    <x v="6"/>
    <d v="2026-02-03T00:00:00"/>
    <s v="Inbound - Current Client (DEPRECATED)"/>
    <s v="São Carlos, BR"/>
    <s v="31"/>
    <s v="1"/>
    <s v="Customer Success"/>
  </r>
  <r>
    <s v="OPP-10067"/>
    <s v="ACC-1075"/>
    <s v="Kestrel Logistics"/>
    <s v="Bernardo Castro"/>
    <s v="Kestrel Logistics - Content - Platform - Website Creation &amp; Production - 02/2026"/>
    <s v="Flex/Renewal"/>
    <s v="Closed Won"/>
    <n v="940468.92"/>
    <s v="BRL"/>
    <n v="940468.92"/>
    <s v="BRL"/>
    <s v="Content - Platform - Website Creation &amp; Production"/>
    <x v="20"/>
    <d v="2025-08-12T00:00:00"/>
    <s v="Inbound - Current Client (DEPRECATED)"/>
    <s v="São Carlos, BR"/>
    <s v="60"/>
    <s v="12"/>
    <s v="Customer Success"/>
  </r>
  <r>
    <s v="OPP-10240"/>
    <s v="ACC-1075"/>
    <s v="Kestrel Logistics"/>
    <s v="Bernardo Castro"/>
    <s v="Kestrel Logistics - Content - Platform - Website Creation &amp; Production - 04/2026"/>
    <s v="Change Order/Upsell"/>
    <s v="Pitched"/>
    <n v="571781.5"/>
    <s v="BRL"/>
    <n v="571781.5"/>
    <s v="BRL"/>
    <s v="Content - Platform - Website Creation &amp; Production"/>
    <x v="23"/>
    <d v="2026-09-04T00:00:00"/>
    <s v="Existing Client - Account/Growth Activity"/>
    <s v="São Carlos, BR"/>
    <s v="4"/>
    <s v="4"/>
    <s v="Customer Success"/>
  </r>
  <r>
    <s v="OPP-10151"/>
    <s v="ACC-1075"/>
    <s v="Kestrel Logistics"/>
    <s v="Bernardo Castro"/>
    <s v="Kestrel Logistics - Content - Platform - Website Creation &amp; Production - 05/2026"/>
    <s v="Change Order/Upsell"/>
    <s v="Registration"/>
    <n v="420"/>
    <s v="BRL"/>
    <n v="420"/>
    <s v="BRL"/>
    <s v="Content - Platform - Website Creation &amp; Production"/>
    <x v="0"/>
    <d v="2026-02-26T00:00:00"/>
    <s v="Inbound - Current Client (DEPRECATED)"/>
    <s v="São Carlos, BR"/>
    <s v="47"/>
    <s v="1"/>
    <s v="Customer Success"/>
  </r>
  <r>
    <s v="OPP-10160"/>
    <s v="ACC-1065"/>
    <s v="Larkspur Foods"/>
    <s v="Joao Pereira"/>
    <s v="Larkspur Foods - Content - Platform - Website Creation &amp; Production - 05/2026"/>
    <s v="Project - Competitive"/>
    <s v="Pitched"/>
    <n v="265000"/>
    <s v="BRL"/>
    <n v="57000"/>
    <s v="BRL"/>
    <s v="Content - Platform - Website Creation &amp; Production"/>
    <x v="21"/>
    <d v="2026-03-03T00:00:00"/>
    <s v="Referral - Personal"/>
    <s v="São Carlos, BR"/>
    <s v="19"/>
    <s v="12"/>
    <s v="Referral"/>
  </r>
  <r>
    <s v="OPP-10118"/>
    <s v="ACC-1066"/>
    <s v="Magnolia Retail"/>
    <s v="Carla Mendes"/>
    <s v="Magnolia Retail - Content - Platform - Website Creation &amp; Production - 05/2026"/>
    <s v="Change Order/Upsell"/>
    <s v="Pitched"/>
    <n v="795900.24"/>
    <s v="BRL"/>
    <n v="585047.43999999994"/>
    <s v="BRL"/>
    <s v="Content - Platform - Website Creation &amp; Production"/>
    <x v="6"/>
    <d v="2026-04-02T00:00:00"/>
    <s v="Inbound - Current Client (DEPRECATED)"/>
    <s v="São Carlos, BR"/>
    <s v="69"/>
    <s v="3"/>
    <s v="Customer Success"/>
  </r>
  <r>
    <s v="OPP-10007"/>
    <s v="ACC-1031"/>
    <s v="Nova Studios"/>
    <s v="Queila Ribeiro"/>
    <s v="Nova Studios - DDM - Media - Creative - 02/2026"/>
    <s v="Change Order/Upsell"/>
    <s v="Closed Won"/>
    <n v="490928.88"/>
    <s v="BRL"/>
    <n v="490928.88"/>
    <s v="BRL"/>
    <s v="Content - Platform - Website Creation &amp; Production"/>
    <x v="24"/>
    <d v="2025-08-21T00:00:00"/>
    <s v="Inbound - Current Client (DEPRECATED)"/>
    <s v="São Carlos, BR"/>
    <s v="95"/>
    <s v="12"/>
    <s v="Customer Success"/>
  </r>
  <r>
    <s v="OPP-10194"/>
    <s v="ACC-1083"/>
    <s v="Umber Design"/>
    <s v="Xavier Correia"/>
    <s v="Umber Design - Content - Platform - Website Creation &amp; Production - 05/2026"/>
    <s v="Project - Not Competitive"/>
    <s v="Pitched"/>
    <n v="500000"/>
    <s v="BRL"/>
    <n v="500000"/>
    <s v="BRL"/>
    <s v="Content - Platform - Website Creation &amp; Production"/>
    <x v="6"/>
    <d v="2026-03-23T00:00:00"/>
    <s v="Marketing - Lead Scoring/Nurturing"/>
    <s v="São Carlos, BR"/>
    <s v="13"/>
    <s v="12"/>
    <s v="Unknown"/>
  </r>
  <r>
    <s v="OPP-10171"/>
    <s v="ACC-1091"/>
    <s v="Wren Chemicals"/>
    <s v="Karina Oliveira"/>
    <s v="Wren Chemicals - Content - Platform - Website Creation &amp; Production - 06/2026"/>
    <s v="Flex/Renewal"/>
    <s v="Registration"/>
    <n v="1993383.1199999999"/>
    <s v="BRL"/>
    <n v="401829.72"/>
    <s v="BRL"/>
    <s v="Content - Platform - Website Creation &amp; Production"/>
    <x v="19"/>
    <d v="2026-09-03T00:00:00"/>
    <s v="Inbound - Current Client (DEPRECATED)"/>
    <s v="São Carlos, BR"/>
    <s v="15"/>
    <s v="12"/>
    <s v="Customer Success"/>
  </r>
  <r>
    <s v="OPP-10207"/>
    <s v="ACC-1043"/>
    <s v="Xanadu Media"/>
    <s v="Bernardo Castro"/>
    <s v="Xanadu Media - Content - Platform - Performance, SEO, CRM &amp; Loyalty - 06/2026"/>
    <s v="Change Order/Upsell"/>
    <s v="Pitched"/>
    <n v="838800"/>
    <s v="BRL"/>
    <n v="144000"/>
    <s v="BRL"/>
    <s v="Content - Platform - Website Creation &amp; Production"/>
    <x v="3"/>
    <d v="2026-03-30T00:00:00"/>
    <s v="Prospecting - Current Client (DEPRECATED)"/>
    <s v="Votorantim, BR"/>
    <s v="5"/>
    <s v="12"/>
    <s v="Customer Success"/>
  </r>
  <r>
    <s v="OPP-10096"/>
    <s v="ACC-1037"/>
    <s v="Acacia Telecom"/>
    <s v="Bruno Costa"/>
    <s v="Acacia Telecom - Content - Platform - Performance, SEO, CRM &amp; Loyalty - 04/2026"/>
    <s v="Change Order/Upsell"/>
    <s v="Closed Won"/>
    <n v="30051.61"/>
    <s v="BRL"/>
    <n v="30051.61"/>
    <s v="BRL"/>
    <s v="Content - Social - AOR"/>
    <x v="2"/>
    <d v="2026-01-15T00:00:00"/>
    <s v="Inbound - Current Client (DEPRECATED)"/>
    <s v="São Carlos, BR"/>
    <s v="19"/>
    <s v="1"/>
    <s v="Customer Success"/>
  </r>
  <r>
    <s v="OPP-10132"/>
    <s v="ACC-1078"/>
    <s v="Aurora Retail"/>
    <s v="Amanda Rios"/>
    <s v="Aurora Retail - Content - Social - AOR - 05/2026"/>
    <s v="Change Order/Upsell"/>
    <s v="Pitched"/>
    <n v="800000"/>
    <s v="BRL"/>
    <n v="800000"/>
    <s v="BRL"/>
    <s v="Content - Social - AOR"/>
    <x v="6"/>
    <d v="2026-12-02T00:00:00"/>
    <s v="Inbound - Current Client (DEPRECATED)"/>
    <s v="Votorantim, BR"/>
    <s v="12"/>
    <s v="12"/>
    <s v="Customer Success"/>
  </r>
  <r>
    <s v="OPP-10027"/>
    <s v="ACC-1109"/>
    <s v="Bluefin Logistics"/>
    <s v="Lucas Almeida"/>
    <s v="Bluefin Logistics - Content - Social - AOR - 06/2026"/>
    <s v="Retainer"/>
    <s v="Pitched"/>
    <n v="36000"/>
    <s v="BRL"/>
    <n v="12000"/>
    <s v="BRL"/>
    <s v="Content - Social - AOR"/>
    <x v="10"/>
    <d v="2025-10-20T00:00:00"/>
    <s v="Inbound - Website - Media.Monks (DEPRECATED)"/>
    <s v="São Carlos, BR"/>
    <s v="76"/>
    <s v="12"/>
    <s v="Inbound"/>
  </r>
  <r>
    <s v="OPP-10110"/>
    <s v="ACC-1062"/>
    <s v="Cedar Foods"/>
    <s v="Daniel Moura"/>
    <s v="Cedar Foods - Content - Social - AOR - 06/2026"/>
    <s v="Change Order/Upsell"/>
    <s v="Pitched"/>
    <n v="4565828.57"/>
    <s v="BRL"/>
    <n v="578334.1"/>
    <s v="BRL"/>
    <s v="Content - Social - AOR"/>
    <x v="3"/>
    <d v="2026-01-26T00:00:00"/>
    <s v="Inbound - Current Client (DEPRECATED)"/>
    <s v="Votorantim, BR"/>
    <s v="33"/>
    <s v="12"/>
    <s v="Customer Success"/>
  </r>
  <r>
    <s v="OPP-10111"/>
    <s v="ACC-1107"/>
    <s v="Cobalt SaaS"/>
    <s v="Xavier Correia"/>
    <s v="Cobalt SaaS - Content - Social - AOR - 01/2026"/>
    <s v="Project - Not Competitive"/>
    <s v="Closed Won"/>
    <n v="90000"/>
    <s v="BRL"/>
    <n v="90000"/>
    <s v="BRL"/>
    <s v="Content - Social - AOR"/>
    <x v="18"/>
    <d v="2026-01-26T00:00:00"/>
    <s v="Inbound - Current Client (DEPRECATED)"/>
    <s v="Votorantim, BR"/>
    <s v="77"/>
    <s v="6"/>
    <s v="Customer Success"/>
  </r>
  <r>
    <s v="OPP-10255"/>
    <s v="ACC-1128"/>
    <s v="Company 127"/>
    <s v="Felipe Lima"/>
    <s v="Company 127 - Content - Social - AOR - 05/2026"/>
    <s v="Project - Competitive"/>
    <s v="Opportunity Identified"/>
    <n v="0"/>
    <s v="BRL"/>
    <n v="0"/>
    <s v="BRL"/>
    <s v="Content - Social - AOR"/>
    <x v="9"/>
    <d v="2026-04-13T00:00:00"/>
    <s v="Referral - Internal"/>
    <s v="São Carlos, BR"/>
    <s v="1"/>
    <m/>
    <s v="Referral"/>
  </r>
  <r>
    <s v="OPP-10066"/>
    <s v="ACC-1049"/>
    <s v="Hazel Construction"/>
    <s v="Bernardo Castro"/>
    <s v="Hazel Construction - DDM - Media - Creative - 02/2026"/>
    <s v="Flex/Renewal"/>
    <s v="Closed Won"/>
    <n v="1546078.56"/>
    <s v="BRL"/>
    <n v="1229366.3999999999"/>
    <s v="BRL"/>
    <s v="Content - Social - AOR"/>
    <x v="25"/>
    <d v="2025-08-12T00:00:00"/>
    <s v="Inbound - Current Client (DEPRECATED)"/>
    <s v="São Carlos, BR"/>
    <s v="33"/>
    <s v="12"/>
    <s v="Customer Success"/>
  </r>
  <r>
    <s v="OPP-10046"/>
    <s v="ACC-1049"/>
    <s v="Hazel Construction"/>
    <s v="Bernardo Castro"/>
    <s v="Hazel Construction - DDM - Media - Managed Media (AOR) - 02/2026"/>
    <s v="Change Order/Upsell"/>
    <s v="Closed Won"/>
    <n v="604944.24"/>
    <s v="BRL"/>
    <n v="307704.36"/>
    <s v="BRL"/>
    <s v="Content - Social - AOR"/>
    <x v="26"/>
    <d v="2025-11-17T00:00:00"/>
    <s v="Inbound - Current Client (DEPRECATED)"/>
    <s v="São Carlos, BR"/>
    <s v="48"/>
    <s v="12"/>
    <s v="Customer Success"/>
  </r>
  <r>
    <s v="OPP-10120"/>
    <s v="ACC-1049"/>
    <s v="Hazel Construction"/>
    <s v="Bernardo Castro"/>
    <s v="Hazel Construction - Content - Social - AOR - 03/2026"/>
    <s v="Change Order/Upsell"/>
    <s v="Closed Won"/>
    <n v="58838.400000000001"/>
    <s v="BRL"/>
    <n v="58838.400000000001"/>
    <s v="BRL"/>
    <s v="Content - Social - AOR"/>
    <x v="2"/>
    <d v="2026-04-02T00:00:00"/>
    <s v="Inbound - Current Client (DEPRECATED)"/>
    <s v="São Carlos, BR"/>
    <s v="19"/>
    <s v="12"/>
    <s v="Customer Success"/>
  </r>
  <r>
    <s v="OPP-10212"/>
    <s v="ACC-1049"/>
    <s v="Hazel Construction"/>
    <s v="Bernardo Castro"/>
    <s v="Hazel Construction - Content - Social - AOR - 03/2026"/>
    <s v="Change Order/Upsell"/>
    <s v="Negotiation"/>
    <n v="54000"/>
    <s v="BRL"/>
    <n v="54000"/>
    <s v="BRL"/>
    <s v="Content - Social - AOR"/>
    <x v="6"/>
    <d v="2026-03-30T00:00:00"/>
    <s v="Inbound - Current Client (DEPRECATED)"/>
    <s v="São Carlos, BR"/>
    <s v="15"/>
    <s v="3"/>
    <s v="Customer Success"/>
  </r>
  <r>
    <s v="OPP-10113"/>
    <s v="ACC-1049"/>
    <s v="Hazel Construction"/>
    <s v="Bernardo Castro"/>
    <s v="Hazel Construction - Content - Social - AOR - 03/2026"/>
    <s v="Change Order/Upsell"/>
    <s v="Closed Won"/>
    <n v="29205.38"/>
    <s v="BRL"/>
    <n v="29205.38"/>
    <s v="BRL"/>
    <s v="Content - Social - AOR"/>
    <x v="25"/>
    <d v="2026-01-29T00:00:00"/>
    <s v="Inbound - Current Client (DEPRECATED)"/>
    <s v="São Carlos, BR"/>
    <s v="33"/>
    <s v="1"/>
    <s v="Customer Success"/>
  </r>
  <r>
    <s v="OPP-10034"/>
    <s v="ACC-1049"/>
    <s v="Hazel Construction"/>
    <s v="Bernardo Castro"/>
    <s v="Hazel Construction - DDM - Media - Managed Media (AOR) - 04/2026"/>
    <s v="Change Order/Upsell"/>
    <s v="Closed Won"/>
    <n v="21044.400000000001"/>
    <s v="BRL"/>
    <n v="21044.400000000001"/>
    <s v="BRL"/>
    <s v="Content - Social - AOR"/>
    <x v="27"/>
    <d v="2025-10-30T00:00:00"/>
    <s v="Inbound - Current Client (DEPRECATED)"/>
    <s v="São Carlos, BR"/>
    <s v="82"/>
    <s v="1"/>
    <s v="Customer Success"/>
  </r>
  <r>
    <s v="OPP-10221"/>
    <s v="ACC-1069"/>
    <s v="Honeysuckle Travel"/>
    <s v="Bruno Costa"/>
    <s v="Honeysuckle Travel - Content - Social - AOR - 05/2026"/>
    <s v="Change Order/Upsell"/>
    <s v="Pitching"/>
    <n v="120000"/>
    <s v="BRL"/>
    <n v="120000"/>
    <s v="BRL"/>
    <s v="Content - Social - AOR"/>
    <x v="6"/>
    <d v="2026-02-04T00:00:00"/>
    <s v="Inbound - Current Client (DEPRECATED)"/>
    <s v="São Carlos, BR"/>
    <s v="12"/>
    <s v="6"/>
    <s v="Customer Success"/>
  </r>
  <r>
    <s v="OPP-10109"/>
    <s v="ACC-1080"/>
    <s v="Lavender Publishing"/>
    <s v="Xavier Correia"/>
    <s v="Lavender Publishing - Content - Social - AOR - 04/2026"/>
    <s v="Project - Competitive"/>
    <s v="Registration"/>
    <n v="360655.14"/>
    <s v="BRL"/>
    <n v="63055.14"/>
    <s v="BRL"/>
    <s v="Content - Social - AOR"/>
    <x v="7"/>
    <d v="2026-01-23T00:00:00"/>
    <s v="Prospecting - Current Client (DEPRECATED)"/>
    <s v="Votorantim, BR"/>
    <s v="46"/>
    <s v="12"/>
    <s v="Customer Success"/>
  </r>
  <r>
    <s v="OPP-10058"/>
    <s v="ACC-1095"/>
    <s v="Nimbus Media"/>
    <s v="Yasmin Nogueira"/>
    <s v="Nimbus Media - Content - Social - AOR - 05/2026"/>
    <s v="Project - Competitive"/>
    <s v="Negotiation"/>
    <n v="2627267.83"/>
    <s v="BRL"/>
    <n v="813135.72"/>
    <s v="BRL"/>
    <s v="Content - Social - AOR"/>
    <x v="12"/>
    <d v="2025-01-12T00:00:00"/>
    <s v="Referral - Personal"/>
    <s v="Votorantim, BR"/>
    <s v="54"/>
    <s v="12"/>
    <s v="Referral"/>
  </r>
  <r>
    <s v="OPP-10001"/>
    <s v="ACC-1031"/>
    <s v="Nova Studios"/>
    <s v="Queila Ribeiro"/>
    <s v="Nova Studios - Content - Social - AOR - 04/2026"/>
    <s v="Change Order/Upsell"/>
    <s v="Registration"/>
    <n v="3043949.95"/>
    <s v="BRL"/>
    <n v="1475924.6"/>
    <s v="BRL"/>
    <s v="Content - Social - AOR"/>
    <x v="0"/>
    <d v="2025-05-19T00:00:00"/>
    <s v="Inbound - Current Client (DEPRECATED)"/>
    <s v="São Carlos, BR"/>
    <s v="130"/>
    <s v="12"/>
    <s v="Customer Success"/>
  </r>
  <r>
    <s v="OPP-10203"/>
    <s v="ACC-1033"/>
    <s v="Onyx Utilities"/>
    <s v="Amanda Rios"/>
    <s v="Onyx Utilities - Content - Social - AOR - 05/2026"/>
    <s v="Change Order/Upsell"/>
    <s v="Negotiation"/>
    <n v="48076.800000000003"/>
    <s v="BRL"/>
    <n v="48076.800000000003"/>
    <s v="BRL"/>
    <s v="Content - Social - AOR"/>
    <x v="6"/>
    <d v="2026-03-26T00:00:00"/>
    <s v="Inbound - Current Client (DEPRECATED)"/>
    <s v="Votorantim, BR"/>
    <s v="19"/>
    <s v="12"/>
    <s v="Customer Success"/>
  </r>
  <r>
    <s v="OPP-10124"/>
    <s v="ACC-1040"/>
    <s v="Quartz Pharma"/>
    <s v="Sofia Guimaraes"/>
    <s v="Quartz Pharma - DDM - Media - Creative - 06/2026"/>
    <s v="Change Order/Upsell"/>
    <s v="Pitching"/>
    <n v="845252.85"/>
    <s v="BRL"/>
    <n v="120707.71"/>
    <s v="BRL"/>
    <s v="Content - Social - AOR"/>
    <x v="3"/>
    <d v="2026-06-02T00:00:00"/>
    <s v="Inbound - Current Client (DEPRECATED)"/>
    <s v="São Carlos, BR"/>
    <s v="36"/>
    <s v="12"/>
    <s v="Customer Success"/>
  </r>
  <r>
    <s v="OPP-10100"/>
    <s v="ACC-1024"/>
    <s v="Topaz Publishing"/>
    <s v="Carla Mendes"/>
    <s v="Topaz Publishing - Content - Social - AOR - 04/2026"/>
    <s v="Change Order/Upsell"/>
    <s v="Closed Won"/>
    <n v="17899"/>
    <s v="BRL"/>
    <n v="17899"/>
    <s v="BRL"/>
    <s v="Content - Social - AOR"/>
    <x v="28"/>
    <d v="2026-01-21T00:00:00"/>
    <s v="Inbound - Current Client (DEPRECATED)"/>
    <s v="São Carlos, BR"/>
    <s v="13"/>
    <s v="1"/>
    <s v="Customer Success"/>
  </r>
  <r>
    <s v="OPP-10065"/>
    <s v="ACC-1092"/>
    <s v="Umbra Gaming"/>
    <s v="Joao Pereira"/>
    <s v="Umbra Gaming - Content - Social - AOR - 01/2026"/>
    <s v="Project - Competitive"/>
    <s v="Closed Won"/>
    <n v="300000"/>
    <s v="BRL"/>
    <n v="300000"/>
    <s v="BRL"/>
    <s v="Content - Social - AOR"/>
    <x v="29"/>
    <d v="2025-08-12T00:00:00"/>
    <s v="Referral - Personal "/>
    <s v="Votorantim, BR"/>
    <s v="90"/>
    <s v="12"/>
    <s v="Referral"/>
  </r>
  <r>
    <s v="OPP-10159"/>
    <s v="ACC-1111"/>
    <s v="Walnut Manufacturing"/>
    <s v="Wanda Borges"/>
    <s v="Walnut Manufacturing - Content - Social - AOR - 05/2026"/>
    <s v="Project - Competitive"/>
    <s v="Pitched"/>
    <n v="2133050.04"/>
    <s v="BRL"/>
    <n v="768956.4"/>
    <s v="BRL"/>
    <s v="Content - Social - AOR"/>
    <x v="1"/>
    <d v="2026-03-03T00:00:00"/>
    <s v="Inbound - Website - Media.Monks (DEPRECATED)"/>
    <s v="Votorantim, BR"/>
    <s v="15"/>
    <s v="12"/>
    <s v="Inbound"/>
  </r>
  <r>
    <s v="OPP-10045"/>
    <s v="ACC-1029"/>
    <s v="Zephyr Telecom"/>
    <s v="Ana Silva"/>
    <s v="Zephyr Telecom - DDM - Data - Services &amp; Tech - Services (Analytics &amp; Support) - 02/2026"/>
    <s v="Flex/Renewal"/>
    <s v="Closed Won"/>
    <n v="3785206.2099999995"/>
    <s v="BRL"/>
    <n v="598144.80000000005"/>
    <s v="BRL"/>
    <s v="Content - Social - Project"/>
    <x v="20"/>
    <d v="2025-11-14T00:00:00"/>
    <s v="Inbound - Current Client (DEPRECATED)"/>
    <s v="São Carlos, BR"/>
    <s v="60"/>
    <s v="12"/>
    <s v="Customer Success"/>
  </r>
  <r>
    <s v="OPP-10234"/>
    <s v="ACC-1029"/>
    <s v="Zephyr Telecom"/>
    <s v="Ana Silva"/>
    <s v="Zephyr Telecom - DDM - Media - Managed Media (AOR) - 01/2026"/>
    <s v="Change Order/Upsell"/>
    <s v="Pitched"/>
    <n v="414939.84"/>
    <s v="BRL"/>
    <n v="414939.84"/>
    <s v="BRL"/>
    <s v="Content - Social - Project"/>
    <x v="13"/>
    <d v="2026-09-04T00:00:00"/>
    <s v="MH Lead (DEPRECATED)"/>
    <s v="São Carlos, BR"/>
    <s v="1"/>
    <s v="12"/>
    <s v="Unknown"/>
  </r>
  <r>
    <s v="OPP-10223"/>
    <s v="ACC-1052"/>
    <s v="Gravel Manufacturing"/>
    <s v="Karina Oliveira"/>
    <s v="Gravel Manufacturing - DDM - Commerce - Content - 06/2026"/>
    <s v="Change Order/Upsell"/>
    <s v="Pitched"/>
    <n v="477489.48"/>
    <s v="BRL"/>
    <n v="477489.48"/>
    <s v="BRL"/>
    <s v="DDM - Commerce - Content"/>
    <x v="3"/>
    <d v="2026-02-04T00:00:00"/>
    <s v="MH Lead (DEPRECATED)"/>
    <s v="São Carlos, BR"/>
    <s v="4"/>
    <s v="12"/>
    <s v="Unknown"/>
  </r>
  <r>
    <s v="OPP-10036"/>
    <s v="ACC-1004"/>
    <s v="Harbor Grocers"/>
    <s v="Carla Mendes"/>
    <s v="Harbor Grocers - DDM - Commerce - Content - 01/2026"/>
    <s v="Flex/Renewal"/>
    <s v="Closed Won"/>
    <n v="1038355.7999999999"/>
    <s v="BRL"/>
    <n v="196152.12"/>
    <s v="BRL"/>
    <s v="DDM - Commerce - Content"/>
    <x v="30"/>
    <d v="2025-06-11T00:00:00"/>
    <s v="Inbound - Current Client (DEPRECATED)"/>
    <s v="São Carlos, BR"/>
    <s v="90"/>
    <s v="12"/>
    <s v="Customer Success"/>
  </r>
  <r>
    <s v="OPP-10061"/>
    <s v="ACC-1004"/>
    <s v="Harbor Grocers"/>
    <s v="Carla Mendes"/>
    <s v="Harbor Grocers - DDM - Commerce - Content - 01/2026"/>
    <s v="Change Order/Upsell"/>
    <s v="Closed Won"/>
    <n v="358921.88"/>
    <s v="BRL"/>
    <n v="197384.28"/>
    <s v="BRL"/>
    <s v="DDM - Commerce - Content"/>
    <x v="30"/>
    <d v="2025-04-12T00:00:00"/>
    <s v="Inbound - Current Client (DEPRECATED) "/>
    <s v="São Carlos, BR"/>
    <s v="90"/>
    <s v="12"/>
    <s v="Customer Success"/>
  </r>
  <r>
    <s v="OPP-10084"/>
    <s v="ACC-1004"/>
    <s v="Harbor Grocers"/>
    <s v="Carla Mendes"/>
    <s v="Harbor Grocers - DDM - Media - Managed Media (AOR) - 01/2026"/>
    <s v="Change Order/Upsell"/>
    <s v="Closed Won"/>
    <n v="45500"/>
    <s v="BRL"/>
    <n v="27900"/>
    <s v="BRL"/>
    <s v="DDM - Commerce - Content"/>
    <x v="30"/>
    <d v="2025-12-23T00:00:00"/>
    <s v="Inbound - Current Client (DEPRECATED)"/>
    <s v="São Carlos, BR"/>
    <s v="90"/>
    <s v="2"/>
    <s v="Customer Success"/>
  </r>
  <r>
    <s v="OPP-10187"/>
    <s v="ACC-1004"/>
    <s v="Harbor Grocers"/>
    <s v="Carla Mendes"/>
    <s v="Harbor Grocers - DDM - Media - Creative - 04/2026"/>
    <s v="Change Order/Upsell"/>
    <s v="Closed Won"/>
    <n v="45500"/>
    <s v="BRL"/>
    <n v="27900"/>
    <s v="BRL"/>
    <s v="DDM - Commerce - Content"/>
    <x v="31"/>
    <d v="2026-03-19T00:00:00"/>
    <s v="Inbound - Current Client (DEPRECATED)"/>
    <s v="São Carlos, BR"/>
    <s v="6"/>
    <s v="2"/>
    <s v="Customer Success"/>
  </r>
  <r>
    <s v="OPP-10168"/>
    <s v="ACC-1069"/>
    <s v="Honeysuckle Travel"/>
    <s v="Bruno Costa"/>
    <s v="Honeysuckle Travel - DDM - Commerce - Content - 05/2026"/>
    <s v="Flex/Renewal"/>
    <s v="Pitching"/>
    <n v="809225.34"/>
    <s v="BRL"/>
    <n v="117104.22"/>
    <s v="BRL"/>
    <s v="DDM - Commerce - Content"/>
    <x v="6"/>
    <d v="2026-06-03T00:00:00"/>
    <s v="Inbound - Current Client (DEPRECATED)"/>
    <s v="São Carlos, BR"/>
    <s v="18"/>
    <s v="6"/>
    <s v="Customer Success"/>
  </r>
  <r>
    <s v="OPP-10160"/>
    <s v="ACC-1065"/>
    <s v="Larkspur Foods"/>
    <s v="Joao Pereira"/>
    <s v="Larkspur Foods - DDM - Commerce - Content - 05/2026"/>
    <s v="Project - Competitive"/>
    <s v="Pitched"/>
    <n v="265000"/>
    <s v="BRL"/>
    <n v="204000"/>
    <s v="BRL"/>
    <s v="DDM - Commerce - Content"/>
    <x v="21"/>
    <d v="2026-03-03T00:00:00"/>
    <s v="Referral - Personal"/>
    <s v="São Carlos, BR"/>
    <s v="19"/>
    <s v="12"/>
    <s v="Referral"/>
  </r>
  <r>
    <s v="OPP-10020"/>
    <s v="ACC-1041"/>
    <s v="Linden Foods"/>
    <s v="Amanda Rios"/>
    <s v="Linden Foods - DDM - Commerce - Content - 07/2026"/>
    <s v="Change Order/Upsell"/>
    <s v="Negotiation"/>
    <n v="366989.64"/>
    <s v="BRL"/>
    <n v="366989.64"/>
    <s v="BRL"/>
    <s v="DDM - Commerce - Content"/>
    <x v="13"/>
    <d v="2025-02-10T00:00:00"/>
    <s v="Inbound - Current Client (DEPRECATED)"/>
    <s v="São Carlos, BR"/>
    <s v="26"/>
    <s v="12"/>
    <s v="Customer Success"/>
  </r>
  <r>
    <s v="OPP-10144"/>
    <s v="ACC-1041"/>
    <s v="Linden Foods"/>
    <s v="Amanda Rios"/>
    <s v="Linden Foods - DDM - Commerce - Content - 05/2026"/>
    <s v="Flex/Renewal"/>
    <s v="Negotiation"/>
    <n v="1926466.8"/>
    <s v="BRL"/>
    <n v="1332880.08"/>
    <s v="BRL"/>
    <s v="DDM - Commerce - Content"/>
    <x v="6"/>
    <d v="2026-02-20T00:00:00"/>
    <s v="Inbound - Current Client (DEPRECATED)"/>
    <s v="São Carlos, BR"/>
    <s v="26"/>
    <s v="12"/>
    <s v="Customer Success"/>
  </r>
  <r>
    <s v="OPP-10118"/>
    <s v="ACC-1066"/>
    <s v="Magnolia Retail"/>
    <s v="Carla Mendes"/>
    <s v="Magnolia Retail - DDM - Commerce - Content - 05/2026"/>
    <s v="Change Order/Upsell"/>
    <s v="Pitched"/>
    <n v="795900.24"/>
    <s v="BRL"/>
    <n v="165852.79999999999"/>
    <s v="BRL"/>
    <s v="DDM - Commerce - Content"/>
    <x v="6"/>
    <d v="2026-04-02T00:00:00"/>
    <s v="Inbound - Current Client (DEPRECATED)"/>
    <s v="São Carlos, BR"/>
    <s v="69"/>
    <s v="3"/>
    <s v="Customer Success"/>
  </r>
  <r>
    <s v="OPP-10195"/>
    <s v="ACC-1066"/>
    <s v="Magnolia Retail"/>
    <s v="Carla Mendes"/>
    <s v="Magnolia Retail - DDM - Commerce - Content - 04/2026"/>
    <s v="Change Order/Upsell"/>
    <s v="Negotiation"/>
    <n v="308940"/>
    <s v="BRL"/>
    <n v="308940"/>
    <s v="BRL"/>
    <s v="DDM - Commerce - Content"/>
    <x v="0"/>
    <d v="2026-03-23T00:00:00"/>
    <s v="Inbound - Current Client (DEPRECATED)"/>
    <s v="São Carlos, BR"/>
    <s v="13"/>
    <s v="12"/>
    <s v="Customer Success"/>
  </r>
  <r>
    <s v="OPP-10058"/>
    <s v="ACC-1095"/>
    <s v="Nimbus Media"/>
    <s v="Yasmin Nogueira"/>
    <s v="Nimbus Media - DDM - Commerce - Content - 05/2026"/>
    <s v="Project - Competitive"/>
    <s v="Negotiation"/>
    <n v="2627267.83"/>
    <s v="BRL"/>
    <n v="239159.76"/>
    <s v="BRL"/>
    <s v="DDM - Commerce - Content"/>
    <x v="12"/>
    <d v="2025-01-12T00:00:00"/>
    <s v="Referral - Personal"/>
    <s v="Votorantim, BR"/>
    <s v="54"/>
    <s v="12"/>
    <s v="Referral"/>
  </r>
  <r>
    <s v="OPP-10057"/>
    <s v="ACC-1031"/>
    <s v="Nova Studios"/>
    <s v="Queila Ribeiro"/>
    <s v="Nova Studios - DDM - Data - Services &amp; Tech - Services (Analytics &amp; Support) - 03/2026"/>
    <s v="Change Order/Upsell"/>
    <s v="Negotiation"/>
    <n v="3015949.3200000003"/>
    <s v="BRL"/>
    <n v="1130106.3600000001"/>
    <s v="BRL"/>
    <s v="DDM - Commerce - Content"/>
    <x v="13"/>
    <d v="2025-01-12T00:00:00"/>
    <s v="Inbound - Current Client (DEPRECATED)"/>
    <s v="São Carlos, BR"/>
    <s v="134"/>
    <s v="12"/>
    <s v="Customer Success"/>
  </r>
  <r>
    <s v="OPP-10098"/>
    <s v="ACC-1031"/>
    <s v="Nova Studios"/>
    <s v="Queila Ribeiro"/>
    <s v="Nova Studios - DDM - Media - Managed Media (AOR) - 04/2026"/>
    <s v="Change Order/Upsell"/>
    <s v="Registration"/>
    <n v="500000"/>
    <s v="BRL"/>
    <n v="500000"/>
    <s v="BRL"/>
    <s v="DDM - Commerce - Content"/>
    <x v="6"/>
    <d v="2026-01-19T00:00:00"/>
    <s v="Inbound - Current Client (DEPRECATED)"/>
    <s v="São Carlos, BR"/>
    <s v="29"/>
    <s v="6"/>
    <s v="Customer Success"/>
  </r>
  <r>
    <s v="OPP-10217"/>
    <s v="ACC-1056"/>
    <s v="Orion Bank"/>
    <s v="Carla Mendes"/>
    <s v="Orion Bank - DDM - Commerce - Content - 04/2026"/>
    <s v="Change Order/Upsell"/>
    <s v="Closed Won"/>
    <n v="8023.37"/>
    <s v="BRL"/>
    <n v="8023.37"/>
    <s v="BRL"/>
    <s v="DDM - Commerce - Content"/>
    <x v="7"/>
    <d v="2026-01-04T00:00:00"/>
    <s v="Existing Client - Account/Growth Activity"/>
    <s v="Votorantim, BR"/>
    <s v="1"/>
    <s v="1"/>
    <s v="Customer Success"/>
  </r>
  <r>
    <s v="OPP-10169"/>
    <s v="ACC-1017"/>
    <s v="Quince Travel"/>
    <s v="Pedro Martins"/>
    <s v="Quince Travel - DDM - Commerce - Content - 04/2026"/>
    <s v="Flex/Renewal"/>
    <s v="Registration"/>
    <n v="2510326.92"/>
    <s v="BRL"/>
    <n v="1483449.96"/>
    <s v="BRL"/>
    <s v="DDM - Commerce - Content"/>
    <x v="0"/>
    <d v="2026-06-03T00:00:00"/>
    <s v="Inbound - Current Client (DEPRECATED)"/>
    <s v="São Carlos, BR"/>
    <s v="39"/>
    <s v="12"/>
    <s v="Customer Success"/>
  </r>
  <r>
    <s v="OPP-10164"/>
    <s v="ACC-1036"/>
    <s v="Rowan Energy"/>
    <s v="Pedro Martins"/>
    <s v="Rowan Energy - DDM - Media - Managed Media (AOR) - 03/2026"/>
    <s v="Change Order/Upsell"/>
    <s v="Closed Won"/>
    <n v="274209.96999999997"/>
    <s v="BRL"/>
    <n v="26598.37"/>
    <s v="BRL"/>
    <s v="DDM - Commerce - Content"/>
    <x v="8"/>
    <d v="2026-05-03T00:00:00"/>
    <s v="Inbound - Current Client (DEPRECATED)"/>
    <s v="Votorantim, BR"/>
    <s v="40"/>
    <s v="1"/>
    <s v="Customer Success"/>
  </r>
  <r>
    <s v="OPP-10213"/>
    <s v="ACC-1006"/>
    <s v="Willow Beauty"/>
    <s v="Bruno Costa"/>
    <s v="Willow Beauty - DDM - Media - Creative - 04/2026"/>
    <s v="Change Order/Upsell"/>
    <s v="Registration"/>
    <n v="139766.74"/>
    <s v="BRL"/>
    <n v="64706.04"/>
    <s v="BRL"/>
    <s v="DDM - Commerce - Content"/>
    <x v="32"/>
    <d v="2026-03-30T00:00:00"/>
    <s v="Referral - S4 Company"/>
    <s v="Votorantim, BR"/>
    <s v="14"/>
    <s v="1"/>
    <s v="Referral"/>
  </r>
  <r>
    <s v="OPP-10171"/>
    <s v="ACC-1091"/>
    <s v="Wren Chemicals"/>
    <s v="Karina Oliveira"/>
    <s v="Wren Chemicals - DDM - Commerce - Content - 06/2026"/>
    <s v="Flex/Renewal"/>
    <s v="Registration"/>
    <n v="1993383.1199999999"/>
    <s v="BRL"/>
    <n v="1271332.8"/>
    <s v="BRL"/>
    <s v="DDM - Commerce - Content"/>
    <x v="19"/>
    <d v="2026-09-03T00:00:00"/>
    <s v="Inbound - Current Client (DEPRECATED)"/>
    <s v="São Carlos, BR"/>
    <s v="15"/>
    <s v="12"/>
    <s v="Customer Success"/>
  </r>
  <r>
    <s v="OPP-10207"/>
    <s v="ACC-1043"/>
    <s v="Xanadu Media"/>
    <s v="Bernardo Castro"/>
    <s v="Xanadu Media - DDM - Commerce - Content - 04/2026"/>
    <s v="Change Order/Upsell"/>
    <s v="Pitched"/>
    <n v="838800"/>
    <s v="BRL"/>
    <n v="248400"/>
    <s v="BRL"/>
    <s v="DDM - Commerce - Content"/>
    <x v="3"/>
    <d v="2026-03-30T00:00:00"/>
    <s v="Prospecting - Current Client (DEPRECATED)"/>
    <s v="Votorantim, BR"/>
    <s v="5"/>
    <s v="12"/>
    <s v="Customer Success"/>
  </r>
  <r>
    <s v="OPP-10085"/>
    <s v="ACC-1043"/>
    <s v="Xanadu Media"/>
    <s v="Bernardo Castro"/>
    <s v="Xanadu Media - DDM - Media - Managed Media (AOR) - 06/2026"/>
    <s v="Change Order/Upsell"/>
    <s v="Registration"/>
    <n v="134323.20000000001"/>
    <s v="BRL"/>
    <n v="134323.20000000001"/>
    <s v="BRL"/>
    <s v="DDM - Commerce - Content"/>
    <x v="0"/>
    <d v="2025-12-29T00:00:00"/>
    <s v="Inbound - Current Client (DEPRECATED)"/>
    <s v="Votorantim, BR"/>
    <s v="68"/>
    <s v="12"/>
    <s v="Customer Success"/>
  </r>
  <r>
    <s v="OPP-10143"/>
    <s v="ACC-1028"/>
    <s v="Xenon Realty"/>
    <s v="Bernardo Castro"/>
    <s v="Xenon Realty - DDM - Commerce - Content - 05/2026"/>
    <s v="Change Order/Upsell"/>
    <s v="Negotiation"/>
    <n v="694094.88"/>
    <s v="BRL"/>
    <n v="292423.2"/>
    <s v="BRL"/>
    <s v="DDM - Commerce - Content"/>
    <x v="6"/>
    <d v="2026-02-19T00:00:00"/>
    <s v="Inbound - Current Client (DEPRECATED)"/>
    <s v="Votorantim, BR"/>
    <s v="33"/>
    <s v="12"/>
    <s v="Customer Success"/>
  </r>
  <r>
    <s v="OPP-10241"/>
    <s v="ACC-1081"/>
    <s v="Yarrow Health"/>
    <s v="Amanda Rios"/>
    <s v="Yarrow Health - DDM - Commerce - Content - 06/2026"/>
    <s v="Flex/Renewal"/>
    <s v="Pitching"/>
    <n v="695284.8"/>
    <s v="BRL"/>
    <n v="170638.2"/>
    <s v="BRL"/>
    <s v="DDM - Commerce - Content"/>
    <x v="3"/>
    <d v="2026-10-04T00:00:00"/>
    <s v="Existing Client - Account/Growth Activity"/>
    <s v="São Carlos, BR"/>
    <s v="4"/>
    <s v="12"/>
    <s v="Customer Success"/>
  </r>
  <r>
    <s v="OPP-10051"/>
    <s v="ACC-1044"/>
    <s v="Yerba Studios"/>
    <s v="Carla Mendes"/>
    <s v="Yerba Studios - DDM - Commerce - Content - 01/2026"/>
    <s v="Flex/Renewal"/>
    <s v="Closed Won"/>
    <n v="760000"/>
    <s v="BRL"/>
    <n v="131750"/>
    <s v="BRL"/>
    <s v="DDM - Commerce - Content"/>
    <x v="18"/>
    <d v="2025-11-26T00:00:00"/>
    <s v="Inbound - Current Client (DEPRECATED)"/>
    <s v="São Carlos, BR"/>
    <s v="77"/>
    <s v="12"/>
    <s v="Customer Success"/>
  </r>
  <r>
    <s v="OPP-10076"/>
    <s v="ACC-1044"/>
    <s v="Yerba Studios"/>
    <s v="Carla Mendes"/>
    <s v="Yerba Studios - DDM - Commerce - Content - 01/2026"/>
    <s v="Change Order/Upsell"/>
    <s v="Closed Won"/>
    <n v="10784"/>
    <s v="BRL"/>
    <n v="5392"/>
    <s v="BRL"/>
    <s v="DDM - Commerce - Content"/>
    <x v="18"/>
    <d v="2025-12-18T00:00:00"/>
    <s v="Inbound - Current Client (DEPRECATED)"/>
    <s v="São Carlos, BR"/>
    <s v="77"/>
    <s v="12"/>
    <s v="Customer Success"/>
  </r>
  <r>
    <s v="OPP-10134"/>
    <s v="ACC-1064"/>
    <s v="Arrow Construction"/>
    <s v="Daniel Moura"/>
    <s v="Arrow Construction - DDM - Data - Services &amp; Tech - Services (Data Science/Data Eng.) - 05/2026"/>
    <s v="Change Order/Upsell"/>
    <s v="Pitched"/>
    <n v="1429074.08"/>
    <s v="BRL"/>
    <n v="349188.48"/>
    <s v="BRL"/>
    <s v="DDM - CRM - Other"/>
    <x v="1"/>
    <d v="2026-02-13T00:00:00"/>
    <s v="Inbound - Current Client (DEPRECATED)"/>
    <s v="São Carlos, BR"/>
    <s v="33"/>
    <s v="12"/>
    <s v="Customer Success"/>
  </r>
  <r>
    <s v="OPP-10099"/>
    <s v="ACC-1112"/>
    <s v="Company 111"/>
    <s v="Xavier Correia"/>
    <s v="Company 111 - DDM - CRM - Other - 02/2026"/>
    <s v="Project - Competitive"/>
    <s v="Closed Won"/>
    <n v="4293965.2399999993"/>
    <s v="BRL"/>
    <n v="439216.68"/>
    <s v="BRL"/>
    <s v="DDM - CRM - Other"/>
    <x v="4"/>
    <d v="2026-01-20T00:00:00"/>
    <s v="Referral - S4 Company"/>
    <s v="São Carlos, BR"/>
    <s v="46"/>
    <s v="12"/>
    <s v="Referral"/>
  </r>
  <r>
    <s v="OPP-10091"/>
    <s v="ACC-1084"/>
    <s v="Nigella Security"/>
    <s v="Bruno Costa"/>
    <s v="Nigella Security - DDM - Media - Creative - 02/2026"/>
    <s v="Flex/Renewal"/>
    <s v="Closed Won"/>
    <n v="3156666.46"/>
    <s v="BRL"/>
    <n v="660775.92000000004"/>
    <s v="BRL"/>
    <s v="DDM - CRM - Other"/>
    <x v="33"/>
    <d v="2026-12-01T00:00:00"/>
    <s v="Inbound - Current Client (DEPRECATED)"/>
    <s v="São Carlos, BR"/>
    <s v="47"/>
    <s v="12"/>
    <s v="Customer Success"/>
  </r>
  <r>
    <s v="OPP-10035"/>
    <s v="ACC-1010"/>
    <s v="Juniper Data"/>
    <s v="Lucas Almeida"/>
    <s v="Juniper Data - DDM - CRM - Salesforce Marketing Cloud - 06/2026"/>
    <s v="Project - Competitive"/>
    <s v="Negotiation"/>
    <n v="286464"/>
    <s v="BRL"/>
    <n v="250464"/>
    <s v="BRL"/>
    <s v="DDM - CRM - Salesforce Marketing Cloud"/>
    <x v="10"/>
    <d v="2025-03-11T00:00:00"/>
    <s v="Industry Event"/>
    <s v="São Carlos, BR"/>
    <s v="134"/>
    <s v="24"/>
    <s v="Event"/>
  </r>
  <r>
    <s v="OPP-10031"/>
    <s v="ACC-1070"/>
    <s v="Quinoa Foods"/>
    <s v="Wanda Borges"/>
    <s v="Quinoa Foods - DDM - Data - Services &amp; Tech - Services (Data Science/Data Eng.) - 01/2026"/>
    <s v="Project - Competitive"/>
    <s v="Closed Won"/>
    <n v="1014586.08"/>
    <s v="BRL"/>
    <n v="286707.59999999998"/>
    <s v="BRL"/>
    <s v="DDM - CRM - Salesforce Marketing Cloud"/>
    <x v="34"/>
    <d v="2025-10-27T00:00:00"/>
    <s v="Prospecting - Current Client (DEPRECATED)"/>
    <s v="São Paulo, BR"/>
    <s v="98"/>
    <s v="6"/>
    <s v="Customer Success"/>
  </r>
  <r>
    <s v="OPP-10128"/>
    <s v="ACC-1074"/>
    <s v="Tamarind Bank"/>
    <s v="Wanda Borges"/>
    <s v="Tamarind Bank - DDM - CRM - Salesforce Marketing Cloud - 05/2026"/>
    <s v="Project - Competitive"/>
    <s v="Pitched"/>
    <n v="863424.8"/>
    <s v="BRL"/>
    <n v="487402.9"/>
    <s v="BRL"/>
    <s v="DDM - CRM - Salesforce Marketing Cloud"/>
    <x v="35"/>
    <d v="2026-11-02T00:00:00"/>
    <s v="Prospecting - Current Client (DEPRECATED)"/>
    <s v="São Carlos, BR"/>
    <s v="55"/>
    <s v="10"/>
    <s v="Customer Success"/>
  </r>
  <r>
    <s v="OPP-10236"/>
    <s v="ACC-1074"/>
    <s v="Tamarind Bank"/>
    <s v="Wanda Borges"/>
    <s v="Tamarind Bank - DDM - CRM - Salesforce Marketing Cloud - 06/2026"/>
    <s v="Project - Not Competitive"/>
    <s v="Pitching"/>
    <n v="265143.84999999998"/>
    <s v="BRL"/>
    <n v="265143.84999999998"/>
    <s v="BRL"/>
    <s v="DDM - CRM - Salesforce Marketing Cloud"/>
    <x v="36"/>
    <d v="2026-09-04T00:00:00"/>
    <s v="Referral - Personal"/>
    <s v="São Carlos, BR"/>
    <s v="5"/>
    <s v="5"/>
    <s v="Referral"/>
  </r>
  <r>
    <s v="OPP-10165"/>
    <s v="ACC-1090"/>
    <s v="Filbert Sports"/>
    <s v="Bruno Costa"/>
    <s v="Filbert Sports - DDM - Data - Automation - 06/2026"/>
    <s v="Change Order/Upsell"/>
    <s v="Pitching"/>
    <n v="120000"/>
    <s v="BRL"/>
    <n v="120000"/>
    <s v="BRL"/>
    <s v="DDM - Data - Automation"/>
    <x v="3"/>
    <d v="2026-06-03T00:00:00"/>
    <s v="Inbound - Current Client (DEPRECATED) "/>
    <s v="São Carlos, BR"/>
    <s v="33"/>
    <s v="12"/>
    <s v="Customer Success"/>
  </r>
  <r>
    <s v="OPP-10087"/>
    <s v="ACC-1061"/>
    <s v="Nectarine Cosmetics"/>
    <s v="Sofia Guimaraes"/>
    <s v="Nectarine Cosmetics - DDM - Data - Automation - 04/2026"/>
    <s v="Flex/Renewal"/>
    <s v="Registration"/>
    <n v="120000"/>
    <s v="BRL"/>
    <n v="120000"/>
    <s v="BRL"/>
    <s v="DDM - Data - Automation"/>
    <x v="0"/>
    <d v="2026-08-01T00:00:00"/>
    <s v="Inbound - Current Client (DEPRECATED)"/>
    <s v="São Carlos, BR"/>
    <s v="60"/>
    <s v="12"/>
    <s v="Customer Success"/>
  </r>
  <r>
    <s v="OPP-10133"/>
    <s v="ACC-1061"/>
    <s v="Nectarine Cosmetics"/>
    <s v="Sofia Guimaraes"/>
    <s v="Nectarine Cosmetics - DDM - Data - Automation - 04/2026"/>
    <s v="Change Order/Upsell"/>
    <s v="Registration"/>
    <n v="24000"/>
    <s v="BRL"/>
    <n v="24000"/>
    <s v="BRL"/>
    <s v="DDM - Data - Automation"/>
    <x v="0"/>
    <d v="2026-12-02T00:00:00"/>
    <s v="Inbound - Current Client (DEPRECATED)"/>
    <s v="São Carlos, BR"/>
    <s v="60"/>
    <s v="12"/>
    <s v="Customer Success"/>
  </r>
  <r>
    <s v="OPP-10121"/>
    <s v="ACC-1089"/>
    <s v="Sage Streaming"/>
    <s v="Karina Oliveira"/>
    <s v="Sage Streaming - DDM - Data - Automation - 03/2026"/>
    <s v="Change Order/Upsell"/>
    <s v="Closed Won"/>
    <n v="252348"/>
    <s v="BRL"/>
    <n v="252348"/>
    <s v="BRL"/>
    <s v="DDM - Data - Automation"/>
    <x v="37"/>
    <d v="2026-05-02T00:00:00"/>
    <s v="Inbound - Current Client (DEPRECATED)"/>
    <s v="São Paulo, BR"/>
    <s v="20"/>
    <s v="12"/>
    <s v="Customer Success"/>
  </r>
  <r>
    <s v="OPP-10181"/>
    <s v="ACC-1058"/>
    <s v="Summit Auto"/>
    <s v="Bruno Costa"/>
    <s v="Summit Auto - DDM - Data - Automation - 06/2026"/>
    <s v="Change Order/Upsell"/>
    <s v="Pitching"/>
    <n v="144000"/>
    <s v="BRL"/>
    <n v="144000"/>
    <s v="BRL"/>
    <s v="DDM - Data - Automation"/>
    <x v="3"/>
    <d v="2026-03-13T00:00:00"/>
    <s v="Inbound - Current Client (DEPRECATED)"/>
    <s v="São Carlos, BR"/>
    <s v="32"/>
    <s v="12"/>
    <s v="Customer Success"/>
  </r>
  <r>
    <s v="OPP-10138"/>
    <s v="ACC-1079"/>
    <s v="Vervain Mobility"/>
    <s v="Nicolas Teixeira"/>
    <s v="Vervain Mobility - DDM - Data - Automation - 05/2026"/>
    <s v="Project - Not Competitive"/>
    <s v="Pitched"/>
    <n v="144000"/>
    <s v="BRL"/>
    <n v="144000"/>
    <s v="BRL"/>
    <s v="DDM - Data - Automation"/>
    <x v="1"/>
    <d v="2026-02-13T00:00:00"/>
    <s v="Referral - Personal"/>
    <s v="São Carlos, BR"/>
    <s v="43"/>
    <s v="12"/>
    <s v="Referral"/>
  </r>
  <r>
    <s v="OPP-10048"/>
    <s v="ACC-1106"/>
    <s v="Yucca Farms"/>
    <s v="Joao Pereira"/>
    <s v="Yucca Farms - DDM - Data - Automation - 03/2026"/>
    <s v="Project - Competitive"/>
    <s v="Closed Won"/>
    <n v="195525"/>
    <s v="BRL"/>
    <n v="25500"/>
    <s v="BRL"/>
    <s v="DDM - Data - Automation"/>
    <x v="11"/>
    <d v="2025-11-26T00:00:00"/>
    <s v="Referral - Personal"/>
    <s v="Votorantim, BR"/>
    <s v="14"/>
    <s v="3"/>
    <s v="Referral"/>
  </r>
  <r>
    <s v="OPP-10189"/>
    <s v="ACC-1020"/>
    <s v="Zucchini Logistics"/>
    <s v="Nicolas Teixeira"/>
    <s v="Zucchini Logistics - DDM - Data - Automation - 03/2026"/>
    <s v="Project - Not Competitive"/>
    <s v="Closed Won"/>
    <n v="264500"/>
    <s v="BRL"/>
    <n v="264500"/>
    <s v="BRL"/>
    <s v="DDM - Data - Automation"/>
    <x v="38"/>
    <d v="2026-03-19T00:00:00"/>
    <s v="Referral - Internal"/>
    <s v="São Carlos, BR"/>
    <s v="15"/>
    <s v="5"/>
    <s v="Referral"/>
  </r>
  <r>
    <s v="OPP-10184"/>
    <s v="ACC-1121"/>
    <s v="Company 120"/>
    <s v="Lucas Almeida"/>
    <s v="Company 120 - DDM - Data - Consulting - 05/2026"/>
    <s v="Project - Not Competitive"/>
    <s v="Qualified"/>
    <n v="427005.1"/>
    <s v="BRL"/>
    <n v="427005.1"/>
    <s v="BRL"/>
    <s v="DDM - Data - Consulting"/>
    <x v="39"/>
    <d v="2026-03-16T00:00:00"/>
    <s v="Referral - Internal"/>
    <s v="São Paulo, BR"/>
    <s v="15"/>
    <s v="8"/>
    <s v="Referral"/>
  </r>
  <r>
    <s v="OPP-10074"/>
    <s v="ACC-1059"/>
    <s v="Basalt Mining"/>
    <s v="Amanda Rios"/>
    <s v="Basalt Mining - DDM - Data - Services &amp; Tech - Platforms Reselling - 04/2026"/>
    <s v="Flex/Renewal"/>
    <s v="Registration"/>
    <n v="1545188.16"/>
    <s v="BRL"/>
    <n v="1545188.16"/>
    <s v="BRL"/>
    <s v="DDM - Data - Services &amp; Tech - Platforms Reselling"/>
    <x v="0"/>
    <d v="2025-12-18T00:00:00"/>
    <s v="Inbound - Current Client (DEPRECATED)"/>
    <s v="São Paulo, BR"/>
    <s v="35"/>
    <s v="12"/>
    <s v="Customer Success"/>
  </r>
  <r>
    <s v="OPP-10129"/>
    <s v="ACC-1113"/>
    <s v="Company 112"/>
    <s v="Diego Rocha"/>
    <s v="Company 112 - DDM - Data - Services &amp; Tech - Platforms Reselling - 02/2026"/>
    <s v="Project - Not Competitive"/>
    <s v="Closed Won"/>
    <n v="32400"/>
    <s v="BRL"/>
    <n v="32400"/>
    <s v="BRL"/>
    <s v="DDM - Data - Services &amp; Tech - Platforms Reselling"/>
    <x v="40"/>
    <d v="2026-11-02T00:00:00"/>
    <s v="Inbound - Website - Media.Monks (DEPRECATED)"/>
    <s v="São Paulo, BR"/>
    <s v="49"/>
    <s v="12"/>
    <s v="Inbound"/>
  </r>
  <r>
    <s v="OPP-10260"/>
    <s v="ACC-1060"/>
    <s v="Fennel Footwear"/>
    <s v="Pedro Martins"/>
    <s v="Fennel Footwear - DDM - Data - Services &amp; Tech - Platforms Reselling - 05/2026"/>
    <s v="Flex/Renewal"/>
    <s v="Registration"/>
    <n v="57011.76"/>
    <s v="BRL"/>
    <n v="57011.76"/>
    <s v="BRL"/>
    <s v="DDM - Data - Services &amp; Tech - Platforms Reselling"/>
    <x v="41"/>
    <d v="2026-04-14T00:00:00"/>
    <s v="Existing Client - Account/Growth Activity"/>
    <s v="São Paulo, BR"/>
    <s v="0"/>
    <s v="12"/>
    <s v="Customer Success"/>
  </r>
  <r>
    <s v="OPP-10229"/>
    <s v="ACC-1051"/>
    <s v="Pyrite Fintech"/>
    <s v="Karina Oliveira"/>
    <s v="Pyrite Fintech - DDM - Data - Services &amp; Tech - Platforms Reselling - 04/2026"/>
    <s v="Flex/Renewal"/>
    <s v="Registration"/>
    <n v="220278.24"/>
    <s v="BRL"/>
    <n v="220278.24"/>
    <s v="BRL"/>
    <s v="DDM - Data - Services &amp; Tech - Platforms Reselling"/>
    <x v="0"/>
    <d v="2026-06-04T00:00:00"/>
    <s v="MH Lead (DEPRECATED)"/>
    <s v="São Paulo, BR"/>
    <s v="8"/>
    <s v="12"/>
    <s v="Unknown"/>
  </r>
  <r>
    <s v="OPP-10251"/>
    <s v="ACC-1097"/>
    <s v="Quince Pharma"/>
    <s v="Joao Pereira"/>
    <s v="Quince Pharma - DDM - Data - Services &amp; Tech - Platforms Reselling - 06/2026"/>
    <s v="Project - Competitive"/>
    <s v="Pitched"/>
    <n v="148800"/>
    <s v="BRL"/>
    <n v="148800"/>
    <s v="BRL"/>
    <s v="DDM - Data - Services &amp; Tech - Platforms Reselling"/>
    <x v="16"/>
    <d v="2026-10-04T00:00:00"/>
    <s v="Referral - Personal"/>
    <s v="São Paulo, BR"/>
    <s v="1"/>
    <s v="12"/>
    <s v="Referral"/>
  </r>
  <r>
    <s v="OPP-10016"/>
    <s v="ACC-1086"/>
    <s v="Sable Footwear"/>
    <s v="Joao Pereira"/>
    <s v="Sable Footwear - DDM - Data - Services &amp; Tech - Platforms Reselling - 02/2026"/>
    <s v="Project - Competitive"/>
    <s v="Closed Won"/>
    <n v="732596.04"/>
    <s v="BRL"/>
    <n v="732596.04"/>
    <s v="BRL"/>
    <s v="DDM - Data - Services &amp; Tech - Platforms Reselling"/>
    <x v="42"/>
    <d v="2025-09-24T00:00:00"/>
    <s v="Inbound - Website - Media.Monks (DEPRECATED)"/>
    <s v="São Paulo, BR"/>
    <s v="50"/>
    <s v="12"/>
    <s v="Inbound"/>
  </r>
  <r>
    <s v="OPP-10130"/>
    <s v="ACC-1089"/>
    <s v="Sage Streaming"/>
    <s v="Karina Oliveira"/>
    <s v="Sage Streaming - DDM - Data - Services &amp; Tech - Platforms Reselling - 04/2026"/>
    <s v="Change Order/Upsell"/>
    <s v="Pitching"/>
    <n v="68000"/>
    <s v="BRL"/>
    <n v="68000"/>
    <s v="BRL"/>
    <s v="DDM - Data - Services &amp; Tech - Platforms Reselling"/>
    <x v="0"/>
    <d v="2026-12-02T00:00:00"/>
    <s v="Inbound - Current Client (DEPRECATED)"/>
    <s v="São Paulo, BR"/>
    <s v="4"/>
    <s v="12"/>
    <s v="Customer Success"/>
  </r>
  <r>
    <s v="OPP-10112"/>
    <s v="ACC-1042"/>
    <s v="Wisteria Publishing"/>
    <s v="Amanda Rios"/>
    <s v="Wisteria Publishing - DDM - Data - Services &amp; Tech - Platforms Reselling - 02/2026"/>
    <s v="Flex/Renewal"/>
    <s v="Closed Won"/>
    <n v="664386.76"/>
    <s v="BRL"/>
    <n v="664386.76"/>
    <s v="BRL"/>
    <s v="DDM - Data - Services &amp; Tech - Platforms Reselling"/>
    <x v="33"/>
    <d v="2026-01-29T00:00:00"/>
    <s v="Inbound - Current Client (DEPRECATED)"/>
    <s v="São Paulo, BR"/>
    <s v="47"/>
    <s v="12"/>
    <s v="Customer Success"/>
  </r>
  <r>
    <s v="OPP-10188"/>
    <s v="ACC-1032"/>
    <s v="Zedoary Chemicals"/>
    <s v="Amanda Rios"/>
    <s v="Zedoary Chemicals - DDM - Data - Services &amp; Tech - Platforms Reselling - 05/2026"/>
    <s v="Flex/Renewal"/>
    <s v="Pitched"/>
    <n v="205277.88"/>
    <s v="BRL"/>
    <n v="205277.88"/>
    <s v="BRL"/>
    <s v="DDM - Data - Services &amp; Tech - Platforms Reselling"/>
    <x v="6"/>
    <d v="2026-03-19T00:00:00"/>
    <s v="Inbound - Current Client (DEPRECATED)"/>
    <s v="São Paulo, BR"/>
    <s v="4"/>
    <s v="12"/>
    <s v="Customer Success"/>
  </r>
  <r>
    <s v="OPP-10150"/>
    <s v="ACC-1037"/>
    <s v="Acacia Telecom"/>
    <s v="Bruno Costa"/>
    <s v="Acacia Telecom - DDM - Media - Creative - 03/2026"/>
    <s v="Change Order/Upsell"/>
    <s v="Registration"/>
    <n v="601599.48"/>
    <s v="BRL"/>
    <n v="31909.8"/>
    <s v="BRL"/>
    <s v="DDM - Data - Services &amp; Tech - Services (Analytics &amp; Support)"/>
    <x v="0"/>
    <d v="2026-02-26T00:00:00"/>
    <s v="Inbound - Current Client (DEPRECATED)"/>
    <s v="São Carlos, BR"/>
    <s v="42"/>
    <s v="12"/>
    <s v="Customer Success"/>
  </r>
  <r>
    <s v="OPP-10175"/>
    <s v="ACC-1007"/>
    <s v="Anise Beauty"/>
    <s v="Daniel Moura"/>
    <s v="Anise Beauty - DDM - Data - Services &amp; Tech - Services (Analytics &amp; Support) - 05/2026"/>
    <s v="Change Order/Upsell"/>
    <s v="Negotiation"/>
    <n v="1302107.45"/>
    <s v="BRL"/>
    <n v="265621.21000000002"/>
    <s v="BRL"/>
    <s v="DDM - Data - Services &amp; Tech - Services (Analytics &amp; Support)"/>
    <x v="6"/>
    <d v="2026-11-03T00:00:00"/>
    <s v="Don't Know/Other (DEPRECATED)"/>
    <s v="Votorantim, BR"/>
    <s v="15"/>
    <s v="12"/>
    <s v="Unknown"/>
  </r>
  <r>
    <s v="OPP-10134"/>
    <s v="ACC-1064"/>
    <s v="Arrow Construction"/>
    <s v="Daniel Moura"/>
    <s v="Arrow Construction - DDM - Media - Managed Media (AOR) - 05/2026"/>
    <s v="Change Order/Upsell"/>
    <s v="Pitched"/>
    <n v="1429074.08"/>
    <s v="BRL"/>
    <n v="451225.8"/>
    <s v="BRL"/>
    <s v="DDM - Data - Services &amp; Tech - Services (Analytics &amp; Support)"/>
    <x v="1"/>
    <d v="2026-02-13T00:00:00"/>
    <s v="Inbound - Current Client (DEPRECATED)"/>
    <s v="São Carlos, BR"/>
    <s v="33"/>
    <s v="12"/>
    <s v="Customer Success"/>
  </r>
  <r>
    <s v="OPP-10040"/>
    <s v="ACC-1059"/>
    <s v="Basalt Mining"/>
    <s v="Amanda Rios"/>
    <s v="Basalt Mining - DDM - Data - Services &amp; Tech - Services (Analytics &amp; Support) - 01/2026"/>
    <s v="Flex/Renewal"/>
    <s v="Closed Won"/>
    <n v="253579.55"/>
    <s v="BRL"/>
    <n v="152442.06"/>
    <s v="BRL"/>
    <s v="DDM - Data - Services &amp; Tech - Services (Analytics &amp; Support)"/>
    <x v="43"/>
    <d v="2025-11-14T00:00:00"/>
    <s v="Inbound - Current Client (DEPRECATED)"/>
    <s v="São Carlos, BR"/>
    <s v="69"/>
    <s v="1"/>
    <s v="Customer Success"/>
  </r>
  <r>
    <s v="OPP-10090"/>
    <s v="ACC-1059"/>
    <s v="Basalt Mining"/>
    <s v="Amanda Rios"/>
    <s v="Basalt Mining - DDM - Data - Services &amp; Tech - Services (Analytics &amp; Support) - 05/2026"/>
    <s v="Flex/Renewal"/>
    <s v="Negotiation"/>
    <n v="2132708.1"/>
    <s v="BRL"/>
    <n v="1829304.72"/>
    <s v="BRL"/>
    <s v="DDM - Data - Services &amp; Tech - Services (Analytics &amp; Support)"/>
    <x v="6"/>
    <d v="2026-12-01T00:00:00"/>
    <s v="Inbound - Current Client (DEPRECATED)"/>
    <s v="São Carlos, BR"/>
    <s v="8"/>
    <s v="12"/>
    <s v="Customer Success"/>
  </r>
  <r>
    <s v="OPP-10110"/>
    <s v="ACC-1062"/>
    <s v="Cedar Foods"/>
    <s v="Daniel Moura"/>
    <s v="Cedar Foods - DDM - Data - Services &amp; Tech - Services (Analytics &amp; Support) - 06/2026"/>
    <s v="Change Order/Upsell"/>
    <s v="Pitched"/>
    <n v="4565828.57"/>
    <s v="BRL"/>
    <n v="629262.96"/>
    <s v="BRL"/>
    <s v="DDM - Data - Services &amp; Tech - Services (Analytics &amp; Support)"/>
    <x v="3"/>
    <d v="2026-01-26T00:00:00"/>
    <s v="Inbound - Current Client (DEPRECATED)"/>
    <s v="Votorantim, BR"/>
    <s v="33"/>
    <s v="12"/>
    <s v="Customer Success"/>
  </r>
  <r>
    <s v="OPP-10154"/>
    <s v="ACC-1119"/>
    <s v="Company 118"/>
    <s v="Wanda Borges"/>
    <s v="Company 118 - DDM - Data - Services &amp; Tech - Services (Analytics &amp; Support) - 05/2026"/>
    <s v="Project - Competitive"/>
    <s v="Pitched"/>
    <n v="2344909.7999999998"/>
    <s v="BRL"/>
    <n v="189158.04"/>
    <s v="BRL"/>
    <s v="DDM - Data - Services &amp; Tech - Services (Analytics &amp; Support)"/>
    <x v="1"/>
    <d v="2026-02-27T00:00:00"/>
    <s v="Inbound - Website - Media.Monks (DEPRECATED)"/>
    <s v="Votorantim, BR"/>
    <s v="15"/>
    <s v="12"/>
    <s v="Inbound"/>
  </r>
  <r>
    <s v="OPP-10173"/>
    <s v="ACC-1120"/>
    <s v="Company 119"/>
    <s v="Felipe Lima"/>
    <s v="Company 119 - DDM - Data - Services &amp; Tech - Services (Analytics &amp; Support) - 05/2026"/>
    <s v="Project - Competitive"/>
    <s v="Pitched"/>
    <n v="894521"/>
    <s v="BRL"/>
    <n v="43952"/>
    <s v="BRL"/>
    <s v="DDM - Data - Services &amp; Tech - Services (Analytics &amp; Support)"/>
    <x v="21"/>
    <d v="2026-11-03T00:00:00"/>
    <s v="Inbound - Website - Media.Monks (DEPRECATED)"/>
    <s v="São Carlos, BR"/>
    <s v="25"/>
    <s v="12"/>
    <s v="Inbound"/>
  </r>
  <r>
    <s v="OPP-10231"/>
    <s v="ACC-1122"/>
    <s v="Company 121"/>
    <s v="Joao Pereira"/>
    <s v="Company 121 - Content - Platform - Website Creation &amp; Production - 05/2026"/>
    <s v="Project - Competitive"/>
    <s v="Pitched"/>
    <n v="374000"/>
    <s v="BRL"/>
    <n v="20000"/>
    <s v="BRL"/>
    <s v="DDM - Data - Services &amp; Tech - Services (Analytics &amp; Support)"/>
    <x v="15"/>
    <d v="2026-08-04T00:00:00"/>
    <s v="Referral - Personal"/>
    <s v="São Carlos, BR"/>
    <s v="4"/>
    <s v="12"/>
    <s v="Referral"/>
  </r>
  <r>
    <s v="OPP-10255"/>
    <s v="ACC-1128"/>
    <s v="Company 127"/>
    <s v="Felipe Lima"/>
    <s v="Company 127 - DDM - Data - Services &amp; Tech - Services (Analytics &amp; Support) - 05/2026"/>
    <s v="Project - Competitive"/>
    <s v="Opportunity Identified"/>
    <n v="0"/>
    <s v="BRL"/>
    <n v="0"/>
    <s v="BRL"/>
    <s v="DDM - Data - Services &amp; Tech - Services (Analytics &amp; Support)"/>
    <x v="9"/>
    <d v="2026-04-13T00:00:00"/>
    <s v="Referral - Internal"/>
    <s v="São Carlos, BR"/>
    <s v="1"/>
    <m/>
    <s v="Referral"/>
  </r>
  <r>
    <s v="OPP-10004"/>
    <s v="ACC-1035"/>
    <s v="Copper Air"/>
    <s v="Bernardo Castro"/>
    <s v="Copper Air - DDM - Data - Services &amp; Tech - Services (Analytics &amp; Support) - 01/2026"/>
    <s v="Change Order/Upsell"/>
    <s v="Closed Won"/>
    <n v="32226.34"/>
    <s v="BRL"/>
    <n v="32226.34"/>
    <s v="BRL"/>
    <s v="DDM - Data - Services &amp; Tech - Services (Analytics &amp; Support)"/>
    <x v="30"/>
    <d v="2025-08-08T00:00:00"/>
    <s v="Inbound - Current Client (DEPRECATED)"/>
    <s v="Votorantim, BR"/>
    <s v="90"/>
    <s v="2"/>
    <s v="Customer Success"/>
  </r>
  <r>
    <s v="OPP-10038"/>
    <s v="ACC-1046"/>
    <s v="Cypress Air"/>
    <s v="Wanda Borges"/>
    <s v="Cypress Air - DDM - Data - Services &amp; Tech - Services (Analytics &amp; Support) - 02/2026"/>
    <s v="Project - Competitive"/>
    <s v="Closed Won"/>
    <n v="589446.40999999992"/>
    <s v="BRL"/>
    <n v="41309.81"/>
    <s v="BRL"/>
    <s v="DDM - Data - Services &amp; Tech - Services (Analytics &amp; Support)"/>
    <x v="4"/>
    <d v="2025-11-11T00:00:00"/>
    <s v="Inbound - Marketing (DEPRECATED)"/>
    <s v="Votorantim, BR"/>
    <s v="46"/>
    <s v="12"/>
    <s v="Inbound"/>
  </r>
  <r>
    <s v="OPP-10147"/>
    <s v="ACC-1008"/>
    <s v="Dogwood Pharma"/>
    <s v="Lucas Almeida"/>
    <s v="Dogwood Pharma - DDM - Data - Services &amp; Tech - Services (Analytics &amp; Support) - 05/2026"/>
    <s v="Project - Competitive"/>
    <s v="Negotiation"/>
    <n v="1000704"/>
    <s v="BRL"/>
    <n v="433188"/>
    <s v="BRL"/>
    <s v="DDM - Data - Services &amp; Tech - Services (Analytics &amp; Support)"/>
    <x v="21"/>
    <d v="2026-02-23T00:00:00"/>
    <s v="Prospecting - Current Client (DEPRECATED)"/>
    <s v="São Carlos, BR"/>
    <s v="50"/>
    <s v="12"/>
    <s v="Customer Success"/>
  </r>
  <r>
    <s v="OPP-10147"/>
    <s v="ACC-1008"/>
    <s v="Dogwood Pharma"/>
    <s v="Lucas Almeida"/>
    <s v="Dogwood Pharma - DDM - Data - Services &amp; Tech - Services (Analytics &amp; Support) - 05/2026"/>
    <s v="Project - Competitive"/>
    <s v="Negotiation"/>
    <n v="1000704"/>
    <s v="BRL"/>
    <n v="567516"/>
    <s v="BRL"/>
    <s v="DDM - Data - Services &amp; Tech - Services (Analytics &amp; Support)"/>
    <x v="21"/>
    <d v="2026-02-23T00:00:00"/>
    <s v="Prospecting - Current Client (DEPRECATED)"/>
    <s v="São Carlos, BR"/>
    <s v="50"/>
    <s v="12"/>
    <s v="Customer Success"/>
  </r>
  <r>
    <s v="OPP-10071"/>
    <s v="ACC-1050"/>
    <s v="Dune Ecommerce"/>
    <s v="Queila Ribeiro"/>
    <s v="Dune Ecommerce - DDM - Data - Services &amp; Tech - Services (Analytics &amp; Support) - 03/2026"/>
    <s v="Change Order/Upsell"/>
    <s v="Closed Won"/>
    <n v="1818447"/>
    <s v="BRL"/>
    <n v="76079.89"/>
    <s v="BRL"/>
    <s v="DDM - Data - Services &amp; Tech - Services (Analytics &amp; Support)"/>
    <x v="5"/>
    <d v="2025-12-15T00:00:00"/>
    <s v="Inbound - Current Client (DEPRECATED)"/>
    <s v="São Carlos, BR"/>
    <s v="21"/>
    <s v="8"/>
    <s v="Customer Success"/>
  </r>
  <r>
    <s v="OPP-10183"/>
    <s v="ACC-1050"/>
    <s v="Dune Ecommerce"/>
    <s v="Queila Ribeiro"/>
    <s v="Dune Ecommerce - Content - Platform - Website Creation &amp; Production - 05/2026"/>
    <s v="Change Order/Upsell"/>
    <s v="Negotiation"/>
    <n v="296000"/>
    <s v="BRL"/>
    <n v="20000"/>
    <s v="BRL"/>
    <s v="DDM - Data - Services &amp; Tech - Services (Analytics &amp; Support)"/>
    <x v="6"/>
    <d v="2026-03-14T00:00:00"/>
    <s v="Inbound - Current Client (DEPRECATED)"/>
    <s v="São Carlos, BR"/>
    <s v="13"/>
    <s v="6"/>
    <s v="Customer Success"/>
  </r>
  <r>
    <s v="OPP-10052"/>
    <s v="ACC-1016"/>
    <s v="Elm Realty"/>
    <s v="Pedro Martins"/>
    <s v="Elm Realty - DDM - Data - Services &amp; Tech - Services (Analytics &amp; Support) - 03/2026"/>
    <s v="Flex/Renewal"/>
    <s v="Closed Won"/>
    <n v="517703.16"/>
    <s v="BRL"/>
    <n v="96838.56"/>
    <s v="BRL"/>
    <s v="DDM - Data - Services &amp; Tech - Services (Analytics &amp; Support)"/>
    <x v="44"/>
    <d v="2025-11-27T00:00:00"/>
    <s v="MH Lead (DEPRECATED)"/>
    <s v="Votorantim, BR"/>
    <s v="22"/>
    <s v="12"/>
    <s v="Unknown"/>
  </r>
  <r>
    <s v="OPP-10191"/>
    <s v="ACC-1016"/>
    <s v="Elm Realty"/>
    <s v="Pedro Martins"/>
    <s v="Elm Realty - DDM - Media - Managed Media (AOR) - 03/2026"/>
    <s v="Flex/Renewal"/>
    <s v="Closed Won"/>
    <n v="486654.96"/>
    <s v="BRL"/>
    <n v="96850.32"/>
    <s v="BRL"/>
    <s v="DDM - Data - Services &amp; Tech - Services (Analytics &amp; Support)"/>
    <x v="45"/>
    <d v="2026-03-20T00:00:00"/>
    <s v="Inbound - Current Client (DEPRECATED)"/>
    <s v="Votorantim, BR"/>
    <s v="25"/>
    <s v="12"/>
    <s v="Customer Success"/>
  </r>
  <r>
    <s v="OPP-10083"/>
    <s v="ACC-1016"/>
    <s v="Elm Realty"/>
    <s v="Pedro Martins"/>
    <s v="Elm Realty - DDM - Media - Managed Media (AOR) - 03/2026"/>
    <s v="Change Order/Upsell"/>
    <s v="Closed Won"/>
    <n v="7943.76"/>
    <s v="BRL"/>
    <n v="7943.76"/>
    <s v="BRL"/>
    <s v="DDM - Data - Services &amp; Tech - Services (Analytics &amp; Support)"/>
    <x v="45"/>
    <d v="2025-12-23T00:00:00"/>
    <s v="Inbound - Current Client (DEPRECATED)"/>
    <s v="Votorantim, BR"/>
    <s v="25"/>
    <s v="12"/>
    <s v="Customer Success"/>
  </r>
  <r>
    <s v="OPP-10029"/>
    <s v="ACC-1022"/>
    <s v="Ember Hospitality"/>
    <s v="Sofia Guimaraes"/>
    <s v="Ember Hospitality - DDM - Data - Services &amp; Tech - Services (Analytics &amp; Support) - 04/2026"/>
    <s v="Change Order/Upsell"/>
    <s v="Closed Won"/>
    <n v="1653085.7999999998"/>
    <s v="BRL"/>
    <n v="359170.32"/>
    <s v="BRL"/>
    <s v="DDM - Data - Services &amp; Tech - Services (Analytics &amp; Support)"/>
    <x v="7"/>
    <d v="2025-10-24T00:00:00"/>
    <s v="Inbound - Current Client (DEPRECATED)"/>
    <s v="São Carlos, BR"/>
    <s v="1"/>
    <s v="10"/>
    <s v="Customer Success"/>
  </r>
  <r>
    <s v="OPP-10097"/>
    <s v="ACC-1014"/>
    <s v="Fern Agriculture"/>
    <s v="Lucas Almeida"/>
    <s v="Fern Agriculture - DDM - Data - Services &amp; Tech - Services (Analytics &amp; Support) - 04/2026"/>
    <s v="Project - Not Competitive"/>
    <s v="Registration"/>
    <n v="1410000"/>
    <s v="BRL"/>
    <n v="234000"/>
    <s v="BRL"/>
    <s v="DDM - Data - Services &amp; Tech - Services (Analytics &amp; Support)"/>
    <x v="7"/>
    <d v="2026-01-16T00:00:00"/>
    <s v="Inbound - Website - Media.Monks (DEPRECATED)"/>
    <s v="Votorantim, BR"/>
    <s v="21"/>
    <s v="12"/>
    <s v="Inbound"/>
  </r>
  <r>
    <s v="OPP-10176"/>
    <s v="ACC-1102"/>
    <s v="Fjord Travel"/>
    <s v="Daniel Moura"/>
    <s v="Fjord Travel - DDM - Data - Services &amp; Tech - Services (Analytics &amp; Support) - 05/2026"/>
    <s v="Change Order/Upsell"/>
    <s v="Negotiation"/>
    <n v="585915.63"/>
    <s v="BRL"/>
    <n v="119522.87"/>
    <s v="BRL"/>
    <s v="DDM - Data - Services &amp; Tech - Services (Analytics &amp; Support)"/>
    <x v="6"/>
    <d v="2026-11-03T00:00:00"/>
    <s v="Don't Know/Other (DEPRECATED)"/>
    <s v="Votorantim, BR"/>
    <s v="15"/>
    <s v="12"/>
    <s v="Unknown"/>
  </r>
  <r>
    <s v="OPP-10061"/>
    <s v="ACC-1004"/>
    <s v="Harbor Grocers"/>
    <s v="Carla Mendes"/>
    <s v="Harbor Grocers - DDM - Data - Services &amp; Tech - Services (Analytics &amp; Support) - 01/2026"/>
    <s v="Change Order/Upsell"/>
    <s v="Closed Won"/>
    <n v="358921.88"/>
    <s v="BRL"/>
    <n v="53600"/>
    <s v="BRL"/>
    <s v="DDM - Data - Services &amp; Tech - Services (Analytics &amp; Support)"/>
    <x v="30"/>
    <d v="2025-04-12T00:00:00"/>
    <s v="Inbound - Current Client (DEPRECATED)"/>
    <s v="São Carlos, BR"/>
    <s v="90"/>
    <s v="12"/>
    <s v="Customer Success"/>
  </r>
  <r>
    <s v="OPP-10066"/>
    <s v="ACC-1049"/>
    <s v="Hazel Construction"/>
    <s v="Bernardo Castro"/>
    <s v="Hazel Construction - Content - Social - AOR - 02/2026"/>
    <s v="Flex/Renewal"/>
    <s v="Closed Won"/>
    <n v="1546078.56"/>
    <s v="BRL"/>
    <n v="183485.76"/>
    <s v="BRL"/>
    <s v="DDM - Data - Services &amp; Tech - Services (Analytics &amp; Support)"/>
    <x v="25"/>
    <d v="2025-08-12T00:00:00"/>
    <s v="Inbound - Current Client (DEPRECATED)"/>
    <s v="São Carlos, BR"/>
    <s v="33"/>
    <s v="12"/>
    <s v="Customer Success"/>
  </r>
  <r>
    <s v="OPP-10060"/>
    <s v="ACC-1005"/>
    <s v="Helios Tech"/>
    <s v="Lucas Almeida"/>
    <s v="Helios Tech - DDM - Data - Services &amp; Tech - Services (Analytics &amp; Support) - 04/2026"/>
    <s v="Project - Competitive"/>
    <s v="Registration"/>
    <n v="993642.36"/>
    <s v="BRL"/>
    <n v="57000"/>
    <s v="BRL"/>
    <s v="DDM - Data - Services &amp; Tech - Services (Analytics &amp; Support)"/>
    <x v="46"/>
    <d v="2025-03-12T00:00:00"/>
    <s v="Don't Know/Other (DEPRECATED)"/>
    <s v="Votorantim, BR"/>
    <s v="21"/>
    <s v="12"/>
    <s v="Unknown"/>
  </r>
  <r>
    <s v="OPP-10178"/>
    <s v="ACC-1053"/>
    <s v="Hemlock Insurance"/>
    <s v="Bernardo Castro"/>
    <s v="Hemlock Insurance - DDM - Media - Activation - Platforms Reselling - 04/2026"/>
    <s v="Change Order/Upsell"/>
    <s v="Pitched"/>
    <n v="3363176.34"/>
    <s v="BRL"/>
    <n v="3363176.34"/>
    <s v="BRL"/>
    <s v="DDM - Data - Services &amp; Tech - Services (Analytics &amp; Support)"/>
    <x v="3"/>
    <d v="2026-12-03T00:00:00"/>
    <s v="Inbound - Current Client (DEPRECATED)"/>
    <s v="São Carlos, BR"/>
    <s v="29"/>
    <s v="12"/>
    <s v="Customer Success"/>
  </r>
  <r>
    <s v="OPP-10168"/>
    <s v="ACC-1069"/>
    <s v="Honeysuckle Travel"/>
    <s v="Bruno Costa"/>
    <s v="Honeysuckle Travel - DDM - Data - Services &amp; Tech - Services (Analytics &amp; Support) - 05/2026"/>
    <s v="Flex/Renewal"/>
    <s v="Pitching"/>
    <n v="809225.34"/>
    <s v="BRL"/>
    <n v="109005.84"/>
    <s v="BRL"/>
    <s v="DDM - Data - Services &amp; Tech - Services (Analytics &amp; Support)"/>
    <x v="6"/>
    <d v="2026-06-03T00:00:00"/>
    <s v="Inbound - Current Client (DEPRECATED)"/>
    <s v="São Carlos, BR"/>
    <s v="18"/>
    <s v="6"/>
    <s v="Customer Success"/>
  </r>
  <r>
    <s v="OPP-10068"/>
    <s v="ACC-1023"/>
    <s v="Iris Delivery"/>
    <s v="Amanda Rios"/>
    <s v="Iris Delivery - Content - Platform - Performance, SEO, CRM &amp; Loyalty - 03/2026"/>
    <s v="Change Order/Upsell"/>
    <s v="Registration"/>
    <n v="10992.1"/>
    <s v="BRL"/>
    <n v="10992.1"/>
    <s v="BRL"/>
    <s v="DDM - Data - Services &amp; Tech - Services (Analytics &amp; Support)"/>
    <x v="32"/>
    <d v="2025-09-12T00:00:00"/>
    <s v="Inbound - Current Client (DEPRECATED)"/>
    <s v="Votorantim, BR"/>
    <s v="126"/>
    <s v="1"/>
    <s v="Customer Success"/>
  </r>
  <r>
    <s v="OPP-10050"/>
    <s v="ACC-1045"/>
    <s v="Jasper Security"/>
    <s v="Felipe Lima"/>
    <s v="Jasper Security - DDM - Data - Services &amp; Tech - Services (Analytics &amp; Support) - 05/2026"/>
    <s v="Project - Competitive"/>
    <s v="Negotiation"/>
    <n v="6208423.2000000002"/>
    <s v="BRL"/>
    <n v="412673.64"/>
    <s v="BRL"/>
    <s v="DDM - Data - Services &amp; Tech - Services (Analytics &amp; Support)"/>
    <x v="9"/>
    <d v="2025-11-26T00:00:00"/>
    <s v="Referral - Internal"/>
    <s v="Votorantim, BR"/>
    <s v="64"/>
    <s v="12"/>
    <s v="Referral"/>
  </r>
  <r>
    <s v="OPP-10035"/>
    <s v="ACC-1010"/>
    <s v="Juniper Data"/>
    <s v="Lucas Almeida"/>
    <s v="Juniper Data - DDM - Data - Services &amp; Tech - Services (Analytics &amp; Support) - 06/2026"/>
    <s v="Project - Competitive"/>
    <s v="Negotiation"/>
    <n v="286464"/>
    <s v="BRL"/>
    <n v="12000"/>
    <s v="BRL"/>
    <s v="DDM - Data - Services &amp; Tech - Services (Analytics &amp; Support)"/>
    <x v="10"/>
    <d v="2025-03-11T00:00:00"/>
    <s v="Industry Event"/>
    <s v="São Carlos, BR"/>
    <s v="134"/>
    <s v="24"/>
    <s v="Event"/>
  </r>
  <r>
    <s v="OPP-10198"/>
    <s v="ACC-1066"/>
    <s v="Magnolia Retail"/>
    <s v="Carla Mendes"/>
    <s v="Magnolia Retail - DDM - Data - Services &amp; Tech - Services (Analytics &amp; Support) - 04/2026"/>
    <s v="Flex/Renewal"/>
    <s v="Registration"/>
    <n v="74000"/>
    <s v="BRL"/>
    <n v="74000"/>
    <s v="BRL"/>
    <s v="DDM - Data - Services &amp; Tech - Services (Analytics &amp; Support)"/>
    <x v="0"/>
    <d v="2026-03-26T00:00:00"/>
    <s v="Inbound - Current Client (DEPRECATED)"/>
    <s v="São Carlos, BR"/>
    <s v="13"/>
    <s v="6"/>
    <s v="Customer Success"/>
  </r>
  <r>
    <s v="OPP-10058"/>
    <s v="ACC-1095"/>
    <s v="Nimbus Media"/>
    <s v="Yasmin Nogueira"/>
    <s v="Nimbus Media - DDM - Data - Services &amp; Tech - Services (Analytics &amp; Support) - 05/2026"/>
    <s v="Project - Competitive"/>
    <s v="Negotiation"/>
    <n v="2627267.83"/>
    <s v="BRL"/>
    <n v="21120.19"/>
    <s v="BRL"/>
    <s v="DDM - Data - Services &amp; Tech - Services (Analytics &amp; Support)"/>
    <x v="12"/>
    <d v="2025-01-12T00:00:00"/>
    <s v="Referral - Personal"/>
    <s v="Votorantim, BR"/>
    <s v="54"/>
    <s v="12"/>
    <s v="Referral"/>
  </r>
  <r>
    <s v="OPP-10021"/>
    <s v="ACC-1031"/>
    <s v="Nova Studios"/>
    <s v="Queila Ribeiro"/>
    <s v="Nova Studios - Content - Platform - Website Creation &amp; Production - 01/2026"/>
    <s v="Flex/Renewal"/>
    <s v="Closed Won"/>
    <n v="4551785.4000000004"/>
    <s v="BRL"/>
    <n v="956103.36"/>
    <s v="BRL"/>
    <s v="DDM - Data - Services &amp; Tech - Services (Analytics &amp; Support)"/>
    <x v="47"/>
    <d v="2025-03-10T00:00:00"/>
    <s v="Inbound - Current Client (DEPRECATED)"/>
    <s v="São Carlos, BR"/>
    <s v="27"/>
    <s v="12"/>
    <s v="Customer Success"/>
  </r>
  <r>
    <s v="OPP-10021"/>
    <s v="ACC-1031"/>
    <s v="Nova Studios"/>
    <s v="Queila Ribeiro"/>
    <s v="Nova Studios - DDM - Data - Services &amp; Tech - Services (Analytics &amp; Support) - 01/2026"/>
    <s v="Flex/Renewal"/>
    <s v="Closed Won"/>
    <n v="4551785.4000000004"/>
    <s v="BRL"/>
    <n v="804870.24"/>
    <s v="BRL"/>
    <s v="DDM - Data - Services &amp; Tech - Services (Analytics &amp; Support)"/>
    <x v="47"/>
    <d v="2025-03-10T00:00:00"/>
    <s v="Inbound - Current Client (DEPRECATED)"/>
    <s v="São Carlos, BR"/>
    <s v="27"/>
    <s v="12"/>
    <s v="Customer Success"/>
  </r>
  <r>
    <s v="OPP-10021"/>
    <s v="ACC-1031"/>
    <s v="Nova Studios"/>
    <s v="Queila Ribeiro"/>
    <s v="Nova Studios - DDM - Data - Services &amp; Tech - Services (Analytics &amp; Support) - 03/2026"/>
    <s v="Flex/Renewal"/>
    <s v="Closed Won"/>
    <n v="4551785.4000000004"/>
    <s v="BRL"/>
    <n v="2790811.8"/>
    <s v="BRL"/>
    <s v="DDM - Data - Services &amp; Tech - Services (Analytics &amp; Support)"/>
    <x v="47"/>
    <d v="2025-03-10T00:00:00"/>
    <s v="Inbound - Current Client (DEPRECATED)"/>
    <s v="São Carlos, BR"/>
    <s v="27"/>
    <s v="12"/>
    <s v="Customer Success"/>
  </r>
  <r>
    <s v="OPP-10064"/>
    <s v="ACC-1031"/>
    <s v="Nova Studios"/>
    <s v="Queila Ribeiro"/>
    <s v="Nova Studios - DDM - Media - Managed Media (AOR) - 04/2026"/>
    <s v="Flex/Renewal"/>
    <s v="Registration"/>
    <n v="4235159.34"/>
    <s v="BRL"/>
    <n v="210987.53"/>
    <s v="BRL"/>
    <s v="DDM - Data - Services &amp; Tech - Services (Analytics &amp; Support)"/>
    <x v="48"/>
    <d v="2025-08-12T00:00:00"/>
    <s v="Inbound - Current Client (DEPRECATED)"/>
    <s v="São Carlos, BR"/>
    <s v="26"/>
    <s v="6"/>
    <s v="Customer Success"/>
  </r>
  <r>
    <s v="OPP-10010"/>
    <s v="ACC-1031"/>
    <s v="Nova Studios"/>
    <s v="Queila Ribeiro"/>
    <s v="Nova Studios -  - 05/2026"/>
    <s v="Change Order/Upsell"/>
    <s v="Closed Won"/>
    <n v="33442.82"/>
    <s v="BRL"/>
    <n v="33442.82"/>
    <s v="BRL"/>
    <s v="DDM - Data - Services &amp; Tech - Services (Analytics &amp; Support)"/>
    <x v="49"/>
    <d v="2025-08-28T00:00:00"/>
    <s v="Inbound - Current Client (DEPRECATED)"/>
    <s v="São Carlos, BR"/>
    <s v="96"/>
    <s v="1"/>
    <s v="Customer Success"/>
  </r>
  <r>
    <s v="OPP-10044"/>
    <s v="ACC-1063"/>
    <s v="Saffron Fashion"/>
    <s v="Ana Silva"/>
    <s v="Saffron Fashion - DDM - Data - Services &amp; Tech - Services (Analytics &amp; Support) - 01/2026"/>
    <s v="Change Order/Upsell"/>
    <s v="Closed Won"/>
    <n v="2518147.83"/>
    <s v="BRL"/>
    <n v="466000"/>
    <s v="BRL"/>
    <s v="DDM - Data - Services &amp; Tech - Services (Analytics &amp; Support)"/>
    <x v="29"/>
    <d v="2025-11-14T00:00:00"/>
    <s v="Inbound - Current Client (DEPRECATED)"/>
    <s v="São Carlos, BR"/>
    <s v="92"/>
    <s v="12"/>
    <s v="Customer Success"/>
  </r>
  <r>
    <s v="OPP-10044"/>
    <s v="ACC-1063"/>
    <s v="Saffron Fashion"/>
    <s v="Ana Silva"/>
    <s v="Saffron Fashion - DDM - Data - Services &amp; Tech - Services (Analytics &amp; Support) - 01/2026"/>
    <s v="Change Order/Upsell"/>
    <s v="Closed Won"/>
    <n v="2518147.83"/>
    <s v="BRL"/>
    <n v="180000"/>
    <s v="BRL"/>
    <s v="DDM - Data - Services &amp; Tech - Services (Analytics &amp; Support)"/>
    <x v="29"/>
    <d v="2025-11-14T00:00:00"/>
    <s v="Inbound - Current Client (DEPRECATED)"/>
    <s v="São Carlos, BR"/>
    <s v="92"/>
    <s v="12"/>
    <s v="Customer Success"/>
  </r>
  <r>
    <s v="OPP-10017"/>
    <s v="ACC-1063"/>
    <s v="Saffron Fashion"/>
    <s v="Ana Silva"/>
    <s v="Saffron Fashion - DDM - Media - Managed Media (AOR) - 01/2026"/>
    <s v="Change Order/Upsell"/>
    <s v="Closed Won"/>
    <n v="1157087.3999999999"/>
    <s v="BRL"/>
    <n v="230265"/>
    <s v="BRL"/>
    <s v="DDM - Data - Services &amp; Tech - Services (Analytics &amp; Support)"/>
    <x v="17"/>
    <d v="2025-09-25T00:00:00"/>
    <s v="Inbound - Current Client (DEPRECATED)"/>
    <s v="São Carlos, BR"/>
    <s v="99"/>
    <s v="12"/>
    <s v="Customer Success"/>
  </r>
  <r>
    <s v="OPP-10072"/>
    <s v="ACC-1063"/>
    <s v="Saffron Fashion"/>
    <s v="Ana Silva"/>
    <s v="Saffron Fashion - DDM - Media - Creative - 01/2026"/>
    <s v="Flex/Renewal"/>
    <s v="Closed Won"/>
    <n v="6770269.9100000001"/>
    <s v="BRL"/>
    <n v="1144634.99"/>
    <s v="BRL"/>
    <s v="DDM - Data - Services &amp; Tech - Services (Analytics &amp; Support)"/>
    <x v="18"/>
    <d v="2025-12-15T00:00:00"/>
    <s v="Inbound - Current Client (DEPRECATED)"/>
    <s v="São Carlos, BR"/>
    <s v="77"/>
    <s v="12"/>
    <s v="Customer Success"/>
  </r>
  <r>
    <s v="OPP-10032"/>
    <s v="ACC-1063"/>
    <s v="Saffron Fashion"/>
    <s v="Ana Silva"/>
    <s v="Saffron Fashion - DDM - Media - Managed Media (AOR) - 03/2026"/>
    <s v="Change Order/Upsell"/>
    <s v="Closed Won"/>
    <n v="722935.92"/>
    <s v="BRL"/>
    <n v="115132.8"/>
    <s v="BRL"/>
    <s v="DDM - Data - Services &amp; Tech - Services (Analytics &amp; Support)"/>
    <x v="17"/>
    <d v="2025-10-29T00:00:00"/>
    <s v="Inbound - Current Client (DEPRECATED)"/>
    <s v="São Carlos, BR"/>
    <s v="99"/>
    <s v="12"/>
    <s v="Customer Success"/>
  </r>
  <r>
    <s v="OPP-10233"/>
    <s v="ACC-1063"/>
    <s v="Saffron Fashion"/>
    <s v="Ana Silva"/>
    <s v="Saffron Fashion - DDM - Data - Services &amp; Tech - Services (Analytics &amp; Support) - 06/2026"/>
    <s v="Change Order/Upsell"/>
    <s v="Qualified"/>
    <n v="0"/>
    <s v="BRL"/>
    <n v="0"/>
    <s v="BRL"/>
    <s v="DDM - Data - Services &amp; Tech - Services (Analytics &amp; Support)"/>
    <x v="3"/>
    <d v="2026-09-04T00:00:00"/>
    <s v="MH Lead (DEPRECATED)"/>
    <s v="São Carlos, BR"/>
    <s v="5"/>
    <s v="12"/>
    <s v="Unknown"/>
  </r>
  <r>
    <s v="OPP-10023"/>
    <s v="ACC-1038"/>
    <s v="Sumac Telecom"/>
    <s v="Pedro Martins"/>
    <s v="Sumac Telecom - DDM - Data - Services &amp; Tech - Services (Analytics &amp; Support) - 03/2026"/>
    <s v="Flex/Renewal"/>
    <s v="Closed Won"/>
    <n v="1758176.04"/>
    <s v="BRL"/>
    <n v="194700"/>
    <s v="BRL"/>
    <s v="DDM - Data - Services &amp; Tech - Services (Analytics &amp; Support)"/>
    <x v="14"/>
    <d v="2025-09-10T00:00:00"/>
    <s v="Inbound - Current Client (DEPRECATED)"/>
    <s v="Votorantim, BR"/>
    <s v="36"/>
    <s v="12"/>
    <s v="Customer Success"/>
  </r>
  <r>
    <s v="OPP-10128"/>
    <s v="ACC-1074"/>
    <s v="Tamarind Bank"/>
    <s v="Wanda Borges"/>
    <s v="Tamarind Bank - DDM - Data - Services &amp; Tech - Services (Analytics &amp; Support) - 05/2026"/>
    <s v="Project - Competitive"/>
    <s v="Pitched"/>
    <n v="863424.8"/>
    <s v="BRL"/>
    <n v="376021.9"/>
    <s v="BRL"/>
    <s v="DDM - Data - Services &amp; Tech - Services (Analytics &amp; Support)"/>
    <x v="35"/>
    <d v="2026-11-02T00:00:00"/>
    <s v="Prospecting - Current Client (DEPRECATED)"/>
    <s v="São Carlos, BR"/>
    <s v="55"/>
    <s v="10"/>
    <s v="Customer Success"/>
  </r>
  <r>
    <s v="OPP-10243"/>
    <s v="ACC-1019"/>
    <s v="Thistle Tech"/>
    <s v="Amanda Rios"/>
    <s v="Thistle Tech - DDM - Data - Services &amp; Tech - Services (Analytics &amp; Support) - 01/2026"/>
    <s v="Change Order/Upsell"/>
    <s v="Qualified"/>
    <n v="2163037.2000000002"/>
    <s v="BRL"/>
    <n v="2163037.2000000002"/>
    <s v="BRL"/>
    <s v="DDM - Data - Services &amp; Tech - Services (Analytics &amp; Support)"/>
    <x v="3"/>
    <d v="2026-10-04T00:00:00"/>
    <s v="MH Lead (DEPRECATED)"/>
    <s v="São Carlos, BR"/>
    <s v="4"/>
    <s v="12"/>
    <s v="Unknown"/>
  </r>
  <r>
    <s v="OPP-10054"/>
    <s v="ACC-1019"/>
    <s v="Thistle Tech"/>
    <s v="Amanda Rios"/>
    <s v="Thistle Tech - DDM - Data - Services &amp; Tech - Services (Analytics &amp; Support) - 01/2026"/>
    <s v="Change Order/Upsell"/>
    <s v="Closed Won"/>
    <n v="294537.34999999998"/>
    <s v="BRL"/>
    <n v="294537.34999999998"/>
    <s v="BRL"/>
    <s v="DDM - Data - Services &amp; Tech - Services (Analytics &amp; Support)"/>
    <x v="50"/>
    <d v="2025-11-28T00:00:00"/>
    <s v="Inbound - Current Client (DEPRECATED)"/>
    <s v="São Carlos, BR"/>
    <s v="74"/>
    <s v="5"/>
    <s v="Customer Success"/>
  </r>
  <r>
    <s v="OPP-10063"/>
    <s v="ACC-1019"/>
    <s v="Thistle Tech"/>
    <s v="Amanda Rios"/>
    <s v="Thistle Tech - DDM - Data - Services &amp; Tech - Services (Analytics &amp; Support) - 06/2026"/>
    <s v="Change Order/Upsell"/>
    <s v="Closed Won"/>
    <n v="38183.32"/>
    <s v="BRL"/>
    <n v="38183.32"/>
    <s v="BRL"/>
    <s v="DDM - Data - Services &amp; Tech - Services (Analytics &amp; Support)"/>
    <x v="50"/>
    <d v="2025-05-12T00:00:00"/>
    <s v="Inbound - Current Client (DEPRECATED)"/>
    <s v="São Carlos, BR"/>
    <s v="74"/>
    <s v="2"/>
    <s v="Customer Success"/>
  </r>
  <r>
    <s v="OPP-10159"/>
    <s v="ACC-1111"/>
    <s v="Walnut Manufacturing"/>
    <s v="Wanda Borges"/>
    <s v="Walnut Manufacturing - DDM - Data - Services &amp; Tech - Services (Analytics &amp; Support) - 05/2026"/>
    <s v="Project - Competitive"/>
    <s v="Pitched"/>
    <n v="2133050.04"/>
    <s v="BRL"/>
    <n v="189158.04"/>
    <s v="BRL"/>
    <s v="DDM - Data - Services &amp; Tech - Services (Analytics &amp; Support)"/>
    <x v="1"/>
    <d v="2026-03-03T00:00:00"/>
    <s v="Inbound - Website - Media.Monks (DEPRECATED)"/>
    <s v="Votorantim, BR"/>
    <s v="15"/>
    <s v="12"/>
    <s v="Inbound"/>
  </r>
  <r>
    <s v="OPP-10142"/>
    <s v="ACC-1039"/>
    <s v="Xerus Mobility"/>
    <s v="Daniel Moura"/>
    <s v="Xerus Mobility - DDM - Data - Services &amp; Tech - Services (Analytics &amp; Support) - 05/2026"/>
    <s v="Change Order/Upsell"/>
    <s v="Pitched"/>
    <n v="254376.21"/>
    <s v="BRL"/>
    <n v="254376.21"/>
    <s v="BRL"/>
    <s v="DDM - Data - Services &amp; Tech - Services (Analytics &amp; Support)"/>
    <x v="6"/>
    <d v="2026-02-19T00:00:00"/>
    <s v="Inbound - Current Client (DEPRECATED)"/>
    <s v="Votorantim, BR"/>
    <s v="33"/>
    <s v="6"/>
    <s v="Customer Success"/>
  </r>
  <r>
    <s v="OPP-10051"/>
    <s v="ACC-1044"/>
    <s v="Yerba Studios"/>
    <s v="Carla Mendes"/>
    <s v="Yerba Studios - DDM - Data - Services &amp; Tech - Services (Analytics &amp; Support) - 01/2026"/>
    <s v="Flex/Renewal"/>
    <s v="Closed Won"/>
    <n v="760000"/>
    <s v="BRL"/>
    <n v="64000"/>
    <s v="BRL"/>
    <s v="DDM - Data - Services &amp; Tech - Services (Analytics &amp; Support)"/>
    <x v="18"/>
    <d v="2025-11-26T00:00:00"/>
    <s v="Inbound - Current Client (DEPRECATED)"/>
    <s v="São Carlos, BR"/>
    <s v="77"/>
    <s v="12"/>
    <s v="Customer Success"/>
  </r>
  <r>
    <s v="OPP-10048"/>
    <s v="ACC-1106"/>
    <s v="Yucca Farms"/>
    <s v="Joao Pereira"/>
    <s v="Yucca Farms - DDM - Data - Services &amp; Tech - Services (Analytics &amp; Support) - 03/2026"/>
    <s v="Project - Competitive"/>
    <s v="Closed Won"/>
    <n v="195525"/>
    <s v="BRL"/>
    <n v="61020"/>
    <s v="BRL"/>
    <s v="DDM - Data - Services &amp; Tech - Services (Analytics &amp; Support)"/>
    <x v="11"/>
    <d v="2025-11-26T00:00:00"/>
    <s v="Referral - Personal"/>
    <s v="Votorantim, BR"/>
    <s v="14"/>
    <s v="3"/>
    <s v="Referral"/>
  </r>
  <r>
    <s v="OPP-10172"/>
    <s v="ACC-1085"/>
    <s v="Yumberry Mobile"/>
    <s v="Felipe Lima"/>
    <s v="Yumberry Mobile - DDM - Data - Services &amp; Tech - Services (Analytics &amp; Support) - 05/2026"/>
    <s v="Project - Competitive"/>
    <s v="Negotiation"/>
    <n v="835250.32000000007"/>
    <s v="BRL"/>
    <n v="41122"/>
    <s v="BRL"/>
    <s v="DDM - Data - Services &amp; Tech - Services (Analytics &amp; Support)"/>
    <x v="9"/>
    <d v="2026-11-03T00:00:00"/>
    <s v="Referral - Internal"/>
    <s v="São Carlos, BR"/>
    <s v="25"/>
    <s v="12"/>
    <s v="Referral"/>
  </r>
  <r>
    <s v="OPP-10043"/>
    <s v="ACC-1029"/>
    <s v="Zephyr Telecom"/>
    <s v="Ana Silva"/>
    <s v="Zephyr Telecom - DDM - Media - Managed Media (AOR) - 03/2026"/>
    <s v="Flex/Renewal"/>
    <s v="Closed Won"/>
    <n v="4260383.32"/>
    <s v="BRL"/>
    <n v="432000"/>
    <s v="BRL"/>
    <s v="DDM - Data - Services &amp; Tech - Services (Analytics &amp; Support)"/>
    <x v="14"/>
    <d v="2025-11-14T00:00:00"/>
    <s v="Inbound - Current Client (DEPRECATED)"/>
    <s v="São Carlos, BR"/>
    <s v="36"/>
    <s v="12"/>
    <s v="Customer Success"/>
  </r>
  <r>
    <s v="OPP-10045"/>
    <s v="ACC-1029"/>
    <s v="Zephyr Telecom"/>
    <s v="Ana Silva"/>
    <s v="Zephyr Telecom - DDM - Media - Managed Media (AOR) - 02/2026"/>
    <s v="Flex/Renewal"/>
    <s v="Closed Won"/>
    <n v="3785206.2099999995"/>
    <s v="BRL"/>
    <n v="746108.88"/>
    <s v="BRL"/>
    <s v="DDM - Data - Services &amp; Tech - Services (Analytics &amp; Support)"/>
    <x v="20"/>
    <d v="2025-11-14T00:00:00"/>
    <s v="Inbound - Current Client (DEPRECATED)"/>
    <s v="São Carlos, BR"/>
    <s v="60"/>
    <s v="12"/>
    <s v="Customer Success"/>
  </r>
  <r>
    <s v="OPP-10059"/>
    <s v="ACC-1029"/>
    <s v="Zephyr Telecom"/>
    <s v="Ana Silva"/>
    <s v="Zephyr Telecom - DDM - Data - Services &amp; Tech - Services (Analytics &amp; Support) - 03/2026"/>
    <s v="Flex/Renewal"/>
    <s v="Closed Won"/>
    <n v="490082.16"/>
    <s v="BRL"/>
    <n v="144000"/>
    <s v="BRL"/>
    <s v="DDM - Data - Services &amp; Tech - Services (Analytics &amp; Support)"/>
    <x v="51"/>
    <d v="2025-02-12T00:00:00"/>
    <s v="Inbound - Current Client (DEPRECATED)"/>
    <s v="São Carlos, BR"/>
    <s v="34"/>
    <s v="12"/>
    <s v="Customer Success"/>
  </r>
  <r>
    <s v="OPP-10179"/>
    <s v="ACC-1029"/>
    <s v="Zephyr Telecom"/>
    <s v="Ana Silva"/>
    <s v="Zephyr Telecom - DDM - Media - Managed Media (AOR) - 02/2026"/>
    <s v="Flex/Renewal"/>
    <s v="Registration"/>
    <n v="709465.68"/>
    <s v="BRL"/>
    <n v="144000"/>
    <s v="BRL"/>
    <s v="DDM - Data - Services &amp; Tech - Services (Analytics &amp; Support)"/>
    <x v="0"/>
    <d v="2026-12-03T00:00:00"/>
    <s v="Inbound - Current Client (DEPRECATED)"/>
    <s v="São Carlos, BR"/>
    <s v="28"/>
    <s v="12"/>
    <s v="Customer Success"/>
  </r>
  <r>
    <s v="OPP-10006"/>
    <s v="ACC-1029"/>
    <s v="Zephyr Telecom"/>
    <s v="Ana Silva"/>
    <s v="Zephyr Telecom - DDM - Data - Services &amp; Tech - Services (Analytics &amp; Support) - 04/2026"/>
    <s v="Change Order/Upsell"/>
    <s v="Closed Won"/>
    <n v="64258.47"/>
    <s v="BRL"/>
    <n v="64258.47"/>
    <s v="BRL"/>
    <s v="DDM - Data - Services &amp; Tech - Services (Analytics &amp; Support)"/>
    <x v="52"/>
    <d v="2025-08-21T00:00:00"/>
    <s v="Inbound - Current Client (DEPRECATED)"/>
    <s v="São Carlos, BR"/>
    <s v="83"/>
    <s v="1"/>
    <s v="Customer Success"/>
  </r>
  <r>
    <s v="OPP-10086"/>
    <s v="ACC-1029"/>
    <s v="Zephyr Telecom"/>
    <s v="Ana Silva"/>
    <s v="Zephyr Telecom - Content - Platform - Performance, SEO, CRM &amp; Loyalty - 06/2026"/>
    <s v="Change Order/Upsell"/>
    <s v="Registration"/>
    <n v="10"/>
    <s v="BRL"/>
    <n v="10"/>
    <s v="BRL"/>
    <s v="DDM - Data - Services &amp; Tech - Services (Analytics &amp; Support)"/>
    <x v="0"/>
    <d v="2026-08-01T00:00:00"/>
    <s v="Inbound - Current Client (DEPRECATED)"/>
    <s v="São Carlos, BR"/>
    <s v="61"/>
    <s v="1"/>
    <s v="Customer Success"/>
  </r>
  <r>
    <s v="OPP-10008"/>
    <s v="ACC-1015"/>
    <s v="Zinnia Apparel"/>
    <s v="Ana Silva"/>
    <s v="Zinnia Apparel - DDM - Data - Services &amp; Tech - Services (Analytics &amp; Support) - 03/2026"/>
    <s v="Flex/Renewal"/>
    <s v="Closed Won"/>
    <n v="2706200.27"/>
    <s v="BRL"/>
    <n v="573365.34"/>
    <s v="BRL"/>
    <s v="DDM - Data - Services &amp; Tech - Services (Analytics &amp; Support)"/>
    <x v="11"/>
    <d v="2025-08-22T00:00:00"/>
    <s v="Inbound - Current Client (DEPRECATED)"/>
    <s v="São Carlos, BR"/>
    <s v="14"/>
    <s v="12"/>
    <s v="Customer Success"/>
  </r>
  <r>
    <s v="OPP-10053"/>
    <s v="ACC-1064"/>
    <s v="Arrow Construction"/>
    <s v="Daniel Moura"/>
    <s v="Arrow Construction - Content - Platform - Performance, SEO, CRM &amp; Loyalty - 05/2026"/>
    <s v="Change Order/Upsell"/>
    <s v="Registration"/>
    <n v="235251.12000000002"/>
    <s v="BRL"/>
    <n v="47991.23"/>
    <s v="BRL"/>
    <s v="DDM - Data - Services &amp; Tech - Services (Data Science/Data Eng.)"/>
    <x v="6"/>
    <d v="2025-11-28T00:00:00"/>
    <s v="Inbound - Current Client (DEPRECATED)"/>
    <s v="Votorantim, BR"/>
    <s v="69"/>
    <s v="12"/>
    <s v="Customer Success"/>
  </r>
  <r>
    <s v="OPP-10081"/>
    <s v="ACC-1107"/>
    <s v="Cobalt SaaS"/>
    <s v="Xavier Correia"/>
    <s v="Cobalt SaaS - DDM - Data - Services &amp; Tech - Services (Data Science/Data Eng.) - 01/2026"/>
    <s v="Project - Not Competitive"/>
    <s v="Closed Won"/>
    <n v="120000"/>
    <s v="BRL"/>
    <n v="120000"/>
    <s v="BRL"/>
    <s v="DDM - Data - Services &amp; Tech - Services (Data Science/Data Eng.)"/>
    <x v="30"/>
    <d v="2025-12-22T00:00:00"/>
    <s v="Referral - Personal"/>
    <s v="São Carlos, BR"/>
    <s v="90"/>
    <s v="12"/>
    <s v="Referral"/>
  </r>
  <r>
    <s v="OPP-10099"/>
    <s v="ACC-1112"/>
    <s v="Company 111"/>
    <s v="Xavier Correia"/>
    <s v="Company 111 - DDM - Data - Services &amp; Tech - Services (Data Science/Data Eng.) - 02/2026"/>
    <s v="Project - Competitive"/>
    <s v="Closed Won"/>
    <n v="4293965.2399999993"/>
    <s v="BRL"/>
    <n v="631584"/>
    <s v="BRL"/>
    <s v="DDM - Data - Services &amp; Tech - Services (Data Science/Data Eng.)"/>
    <x v="4"/>
    <d v="2026-01-20T00:00:00"/>
    <s v="Referral - S4 Company"/>
    <s v="São Carlos, BR"/>
    <s v="46"/>
    <s v="12"/>
    <s v="Referral"/>
  </r>
  <r>
    <s v="OPP-10050"/>
    <s v="ACC-1045"/>
    <s v="Jasper Security"/>
    <s v="Felipe Lima"/>
    <s v="Jasper Security - DDM - Data - Services &amp; Tech - Services (Data Science/Data Eng.) - 05/2026"/>
    <s v="Project - Competitive"/>
    <s v="Negotiation"/>
    <n v="6208423.2000000002"/>
    <s v="BRL"/>
    <n v="419838.24"/>
    <s v="BRL"/>
    <s v="DDM - Data - Services &amp; Tech - Services (Data Science/Data Eng.)"/>
    <x v="9"/>
    <d v="2025-11-26T00:00:00"/>
    <s v="Referral - Internal"/>
    <s v="Votorantim, BR"/>
    <s v="64"/>
    <s v="12"/>
    <s v="Referral"/>
  </r>
  <r>
    <s v="OPP-10139"/>
    <s v="ACC-1070"/>
    <s v="Quinoa Foods"/>
    <s v="Wanda Borges"/>
    <s v="Quinoa Foods - DDM - Media - Managed Media (AOR) - 01/2026"/>
    <s v="Project - Competitive"/>
    <s v="Registration"/>
    <n v="1184791"/>
    <s v="BRL"/>
    <n v="406820"/>
    <s v="BRL"/>
    <s v="DDM - Data - Services &amp; Tech - Services (Data Science/Data Eng.)"/>
    <x v="53"/>
    <d v="2026-02-18T00:00:00"/>
    <s v="Referral - S4 Company"/>
    <s v="São Paulo, BR"/>
    <s v="26"/>
    <s v="10"/>
    <s v="Referral"/>
  </r>
  <r>
    <s v="OPP-10031"/>
    <s v="ACC-1070"/>
    <s v="Quinoa Foods"/>
    <s v="Wanda Borges"/>
    <s v="Quinoa Foods - DDM - Data - Services &amp; Tech - Services (Data Science/Data Eng.) - 04/2026"/>
    <s v="Project - Competitive"/>
    <s v="Closed Won"/>
    <n v="1014586.08"/>
    <s v="BRL"/>
    <n v="255745.08"/>
    <s v="BRL"/>
    <s v="DDM - Data - Services &amp; Tech - Services (Data Science/Data Eng.)"/>
    <x v="34"/>
    <d v="2025-10-27T00:00:00"/>
    <s v="Prospecting - Current Client (DEPRECATED)"/>
    <s v="São Paulo, BR"/>
    <s v="98"/>
    <s v="6"/>
    <s v="Customer Success"/>
  </r>
  <r>
    <s v="OPP-10164"/>
    <s v="ACC-1036"/>
    <s v="Rowan Energy"/>
    <s v="Pedro Martins"/>
    <s v="Rowan Energy - DDM - Commerce - Content - 03/2026"/>
    <s v="Change Order/Upsell"/>
    <s v="Closed Won"/>
    <n v="274209.96999999997"/>
    <s v="BRL"/>
    <n v="33179.410000000003"/>
    <s v="BRL"/>
    <s v="DDM - Data - Services &amp; Tech - Services (Data Science/Data Eng.)"/>
    <x v="8"/>
    <d v="2026-05-03T00:00:00"/>
    <s v="Inbound - Current Client (DEPRECATED)"/>
    <s v="Votorantim, BR"/>
    <s v="40"/>
    <s v="1"/>
    <s v="Customer Success"/>
  </r>
  <r>
    <s v="OPP-10014"/>
    <s v="ACC-1036"/>
    <s v="Rowan Energy"/>
    <s v="Pedro Martins"/>
    <s v="Rowan Energy - DDM - Data - Services &amp; Tech - Services (Data Science/Data Eng.) - 03/2026"/>
    <s v="Change Order/Upsell"/>
    <s v="Pitched"/>
    <n v="47800.800000000003"/>
    <s v="BRL"/>
    <n v="47800.800000000003"/>
    <s v="BRL"/>
    <s v="DDM - Data - Services &amp; Tech - Services (Data Science/Data Eng.)"/>
    <x v="6"/>
    <d v="2025-09-17T00:00:00"/>
    <s v="Inbound - Current Client (DEPRECATED)"/>
    <s v="Votorantim, BR"/>
    <s v="148"/>
    <s v="6"/>
    <s v="Customer Success"/>
  </r>
  <r>
    <s v="OPP-10192"/>
    <s v="ACC-1034"/>
    <s v="Ume Insurance"/>
    <s v="Xavier Correia"/>
    <s v="Ume Insurance - DDM - Data - Services &amp; Tech - Services (Data Science/Data Eng.) - 05/2026"/>
    <s v="Project - Competitive"/>
    <s v="Pitching"/>
    <n v="1528601.1600000001"/>
    <s v="BRL"/>
    <n v="567936"/>
    <s v="BRL"/>
    <s v="DDM - Data - Services &amp; Tech - Services (Data Science/Data Eng.)"/>
    <x v="6"/>
    <d v="2026-03-20T00:00:00"/>
    <s v="Inbound - Website - Media.Monks (DEPRECATED)"/>
    <s v="São Carlos, BR"/>
    <s v="4"/>
    <s v="12"/>
    <s v="Inbound"/>
  </r>
  <r>
    <s v="OPP-10182"/>
    <s v="ACC-1037"/>
    <s v="Acacia Telecom"/>
    <s v="Bruno Costa"/>
    <s v="Acacia Telecom - DDM - Data - Services &amp; Tech - Services (Analytics &amp; Support) - 04/2026"/>
    <s v="Change Order/Upsell"/>
    <s v="Pitching"/>
    <n v="270000"/>
    <s v="BRL"/>
    <n v="270000"/>
    <s v="BRL"/>
    <s v="DDM - Media - Activation - Platforms Reselling"/>
    <x v="13"/>
    <d v="2026-03-13T00:00:00"/>
    <s v="Inbound - Current Client (DEPRECATED)"/>
    <s v="São Paulo, BR"/>
    <s v="12"/>
    <s v="12"/>
    <s v="Customer Success"/>
  </r>
  <r>
    <s v="OPP-10152"/>
    <s v="ACC-1117"/>
    <s v="Company 116"/>
    <s v="Felipe Lima"/>
    <s v="Company 116 - DDM - Media - Activation - Platforms Reselling - 06/2026"/>
    <s v="Project - Competitive"/>
    <s v="Pitching"/>
    <n v="216000"/>
    <s v="BRL"/>
    <n v="216000"/>
    <s v="BRL"/>
    <s v="DDM - Media - Activation - Platforms Reselling"/>
    <x v="16"/>
    <d v="2026-02-27T00:00:00"/>
    <s v="Referral - Internal"/>
    <s v="São Paulo, BR"/>
    <s v="29"/>
    <s v="12"/>
    <s v="Referral"/>
  </r>
  <r>
    <s v="OPP-10153"/>
    <s v="ACC-1118"/>
    <s v="Company 117"/>
    <s v="Nicolas Teixeira"/>
    <s v="Company 117 - DDM - Media - Activation - Platforms Reselling - 03/2026"/>
    <s v="Project - Not Competitive"/>
    <s v="Closed Won"/>
    <n v="84000"/>
    <s v="BRL"/>
    <n v="84000"/>
    <s v="BRL"/>
    <s v="DDM - Media - Activation - Platforms Reselling"/>
    <x v="54"/>
    <d v="2026-02-27T00:00:00"/>
    <s v="Referral - Internal"/>
    <s v="São Paulo, BR"/>
    <s v="35"/>
    <s v="12"/>
    <s v="Referral"/>
  </r>
  <r>
    <s v="OPP-10037"/>
    <s v="ACC-1012"/>
    <s v="Dill Delivery"/>
    <s v="Carla Mendes"/>
    <s v="Dill Delivery - DDM - Media - Activation - Platforms Reselling - 01/2026"/>
    <s v="Flex/Renewal"/>
    <s v="Closed Won"/>
    <n v="667166.55000000005"/>
    <s v="BRL"/>
    <n v="667166.55000000005"/>
    <s v="BRL"/>
    <s v="DDM - Media - Activation - Platforms Reselling"/>
    <x v="55"/>
    <d v="2025-10-11T00:00:00"/>
    <s v="Inbound - Current Client (DEPRECATED)"/>
    <s v="São Paulo, BR"/>
    <s v="75"/>
    <s v="12"/>
    <s v="Customer Success"/>
  </r>
  <r>
    <s v="OPP-10219"/>
    <s v="ACC-1050"/>
    <s v="Dune Ecommerce"/>
    <s v="Queila Ribeiro"/>
    <s v="Dune Ecommerce - DDM - Media - Activation - Platforms Reselling - 06/2026"/>
    <s v="Flex/Renewal"/>
    <s v="Registration"/>
    <n v="3480000"/>
    <s v="BRL"/>
    <n v="1800000"/>
    <s v="BRL"/>
    <s v="DDM - Media - Activation - Platforms Reselling"/>
    <x v="3"/>
    <d v="2026-01-04T00:00:00"/>
    <s v="Existing Client - Account/Growth Activity"/>
    <s v="São Paulo, BR"/>
    <s v="12"/>
    <s v="12"/>
    <s v="Customer Success"/>
  </r>
  <r>
    <s v="OPP-10219"/>
    <s v="ACC-1050"/>
    <s v="Dune Ecommerce"/>
    <s v="Queila Ribeiro"/>
    <s v="Dune Ecommerce - DDM - Media - Activation - Platforms Reselling - 06/2026"/>
    <s v="Flex/Renewal"/>
    <s v="Registration"/>
    <n v="3480000"/>
    <s v="BRL"/>
    <n v="1680000"/>
    <s v="BRL"/>
    <s v="DDM - Media - Activation - Platforms Reselling"/>
    <x v="3"/>
    <d v="2026-01-04T00:00:00"/>
    <s v="Existing Client - Account/Growth Activity"/>
    <s v="São Paulo, BR"/>
    <s v="12"/>
    <s v="12"/>
    <s v="Customer Success"/>
  </r>
  <r>
    <s v="OPP-10105"/>
    <s v="ACC-1053"/>
    <s v="Hemlock Insurance"/>
    <s v="Bernardo Castro"/>
    <s v="Hemlock Insurance - Content - Platform - Performance, SEO, CRM &amp; Loyalty - 05/2026"/>
    <s v="Change Order/Upsell"/>
    <s v="Negotiation"/>
    <n v="151200"/>
    <s v="BRL"/>
    <n v="151200"/>
    <s v="BRL"/>
    <s v="DDM - Media - Activation - Platforms Reselling"/>
    <x v="0"/>
    <d v="2026-01-22T00:00:00"/>
    <s v="Inbound - Current Client (DEPRECATED)"/>
    <s v="São Paulo, BR"/>
    <s v="15"/>
    <s v="12"/>
    <s v="Customer Success"/>
  </r>
  <r>
    <s v="OPP-10204"/>
    <s v="ACC-1003"/>
    <s v="Ibis Mobility"/>
    <s v="Bruno Costa"/>
    <s v="Ibis Mobility - DDM - Media - Activation - Platforms Reselling - 05/2026"/>
    <s v="Change Order/Upsell"/>
    <s v="Pitched"/>
    <n v="100000"/>
    <s v="BRL"/>
    <n v="100000"/>
    <s v="BRL"/>
    <s v="DDM - Media - Activation - Platforms Reselling"/>
    <x v="6"/>
    <d v="2026-03-27T00:00:00"/>
    <s v="Inbound - Current Client (DEPRECATED)"/>
    <s v="São Paulo, BR"/>
    <s v="12"/>
    <s v="12"/>
    <s v="Customer Success"/>
  </r>
  <r>
    <s v="OPP-10002"/>
    <s v="ACC-1108"/>
    <s v="Jojoba Cosmetics"/>
    <s v="Wanda Borges"/>
    <s v="Jojoba Cosmetics - DDM - Media - Activation - Platforms Reselling - 01/2026"/>
    <s v="Project - Competitive"/>
    <s v="Closed Won"/>
    <n v="85000"/>
    <s v="BRL"/>
    <n v="85000"/>
    <s v="BRL"/>
    <s v="DDM - Media - Activation - Platforms Reselling"/>
    <x v="56"/>
    <d v="2025-05-30T00:00:00"/>
    <s v="Referral - Partner - Google Marketing Platform"/>
    <s v="São Paulo, BR"/>
    <s v="85"/>
    <s v="12"/>
    <s v="Referral"/>
  </r>
  <r>
    <s v="OPP-10218"/>
    <s v="ACC-1104"/>
    <s v="Juno Health"/>
    <s v="Diego Rocha"/>
    <s v="Juno Health - DDM - Media - Activation - Platforms Reselling - 04/2026"/>
    <s v="Project - Not Competitive"/>
    <s v="Registration"/>
    <n v="42000"/>
    <s v="BRL"/>
    <n v="42000"/>
    <s v="BRL"/>
    <s v="DDM - Media - Activation - Platforms Reselling"/>
    <x v="7"/>
    <d v="2026-01-04T00:00:00"/>
    <s v="Referral - Internal"/>
    <s v="São Carlos, BR"/>
    <s v="12"/>
    <s v="12"/>
    <s v="Referral"/>
  </r>
  <r>
    <s v="OPP-10114"/>
    <s v="ACC-1031"/>
    <s v="Nova Studios"/>
    <s v="Queila Ribeiro"/>
    <s v="Nova Studios - DDM - Commerce - Content - 05/2026"/>
    <s v="Flex/Renewal"/>
    <s v="Registration"/>
    <n v="500000"/>
    <s v="BRL"/>
    <n v="185000"/>
    <s v="BRL"/>
    <s v="DDM - Media - Activation - Platforms Reselling"/>
    <x v="0"/>
    <d v="2026-01-30T00:00:00"/>
    <s v="Inbound - Current Client (DEPRECATED)"/>
    <s v="São Paulo, BR"/>
    <s v="7"/>
    <s v="12"/>
    <s v="Customer Success"/>
  </r>
  <r>
    <s v="OPP-10114"/>
    <s v="ACC-1031"/>
    <s v="Nova Studios"/>
    <s v="Queila Ribeiro"/>
    <s v="Nova Studios - DDM - Media - Activation - Platforms Reselling - 04/2026"/>
    <s v="Flex/Renewal"/>
    <s v="Registration"/>
    <n v="500000"/>
    <s v="BRL"/>
    <n v="315000"/>
    <s v="BRL"/>
    <s v="DDM - Media - Activation - Platforms Reselling"/>
    <x v="0"/>
    <d v="2026-01-30T00:00:00"/>
    <s v="Inbound - Current Client (DEPRECATED)"/>
    <s v="São Paulo, BR"/>
    <s v="7"/>
    <s v="12"/>
    <s v="Customer Success"/>
  </r>
  <r>
    <s v="OPP-10125"/>
    <s v="ACC-1055"/>
    <s v="Olive Hospitality"/>
    <s v="Xavier Correia"/>
    <s v="Olive Hospitality - DDM - Media - Activation - Platforms Reselling - 04/2026"/>
    <s v="Project - Not Competitive"/>
    <s v="Negotiation"/>
    <n v="362880"/>
    <s v="BRL"/>
    <n v="48000"/>
    <s v="BRL"/>
    <s v="DDM - Media - Activation - Platforms Reselling"/>
    <x v="0"/>
    <d v="2026-06-02T00:00:00"/>
    <s v="Referral - Partner - Google Cloud"/>
    <s v="São Carlos, BR"/>
    <s v="36"/>
    <s v="12"/>
    <s v="Referral"/>
  </r>
  <r>
    <s v="OPP-10190"/>
    <s v="ACC-1047"/>
    <s v="Oregano Air"/>
    <s v="Nicolas Teixeira"/>
    <s v="Oregano Air - DDM - Media - Activation - Platforms Reselling - 05/2026"/>
    <s v="Project - Not Competitive"/>
    <s v="Pitching"/>
    <n v="31256.14"/>
    <s v="BRL"/>
    <n v="21000"/>
    <s v="BRL"/>
    <s v="DDM - Media - Activation - Platforms Reselling"/>
    <x v="1"/>
    <d v="2026-03-20T00:00:00"/>
    <s v="Inbound - Website - Media.Monks (DEPRECATED)"/>
    <s v="São Carlos, BR"/>
    <s v="4"/>
    <s v="12"/>
    <s v="Inbound"/>
  </r>
  <r>
    <s v="OPP-10209"/>
    <s v="ACC-1082"/>
    <s v="Thyme SaaS"/>
    <s v="Xavier Correia"/>
    <s v="Thyme SaaS - DDM - Media - Activation - Platforms Reselling - 04/2026"/>
    <s v="Project - Competitive"/>
    <s v="Pitched"/>
    <n v="1887511.68"/>
    <s v="BRL"/>
    <n v="1887511.68"/>
    <s v="BRL"/>
    <s v="DDM - Media - Activation - Platforms Reselling"/>
    <x v="32"/>
    <d v="2026-03-30T00:00:00"/>
    <s v="MH Lead (DEPRECATED)"/>
    <s v="São Carlos, BR"/>
    <s v="8"/>
    <s v="12"/>
    <s v="Unknown"/>
  </r>
  <r>
    <s v="OPP-10047"/>
    <s v="ACC-1024"/>
    <s v="Topaz Publishing"/>
    <s v="Carla Mendes"/>
    <s v="Topaz Publishing - DDM - Media - Activation - Platforms Reselling - 01/2026"/>
    <s v="Flex/Renewal"/>
    <s v="Closed Won"/>
    <n v="175660.68"/>
    <s v="BRL"/>
    <n v="175660.68"/>
    <s v="BRL"/>
    <s v="DDM - Media - Activation - Platforms Reselling"/>
    <x v="43"/>
    <d v="2025-11-24T00:00:00"/>
    <s v="Inbound - Current Client (DEPRECATED)"/>
    <s v="São Paulo, BR"/>
    <s v="70"/>
    <s v="12"/>
    <s v="Customer Success"/>
  </r>
  <r>
    <s v="OPP-10126"/>
    <s v="ACC-1009"/>
    <s v="Usnea Apparel"/>
    <s v="Lucas Almeida"/>
    <s v="Usnea Apparel - DDM - Media - Activation - Platforms Reselling - 04/2026"/>
    <s v="Change Order/Upsell"/>
    <s v="Pitched"/>
    <n v="300000"/>
    <s v="BRL"/>
    <n v="300000"/>
    <s v="BRL"/>
    <s v="DDM - Media - Activation - Platforms Reselling"/>
    <x v="22"/>
    <d v="2026-09-02T00:00:00"/>
    <s v="Inbound - Current Client (DEPRECATED) "/>
    <s v="São Paulo, BR"/>
    <s v="64"/>
    <s v="12"/>
    <s v="Customer Success"/>
  </r>
  <r>
    <s v="OPP-10005"/>
    <s v="ACC-1096"/>
    <s v="Vanilla Beverages"/>
    <s v="Nicolas Teixeira"/>
    <s v="Vanilla Beverages - DDM - Media - Activation - Platforms Reselling - 05/2026"/>
    <s v="Project - Competitive"/>
    <s v="Negotiation"/>
    <n v="30000"/>
    <s v="BRL"/>
    <n v="30000"/>
    <s v="BRL"/>
    <s v="DDM - Media - Activation - Platforms Reselling"/>
    <x v="1"/>
    <d v="2025-08-18T00:00:00"/>
    <s v="Referral - Internal"/>
    <s v="São Carlos, BR"/>
    <s v="92"/>
    <s v="12"/>
    <s v="Referral"/>
  </r>
  <r>
    <s v="OPP-10162"/>
    <s v="ACC-1021"/>
    <s v="Violet Agriculture"/>
    <s v="Carla Mendes"/>
    <s v="Violet Agriculture - Content - Platform - Performance, SEO, CRM &amp; Loyalty - 05/2026"/>
    <s v="Flex/Renewal"/>
    <s v="Closed Won"/>
    <n v="124000"/>
    <s v="BRL"/>
    <n v="124000"/>
    <s v="BRL"/>
    <s v="DDM - Media - Activation - Platforms Reselling"/>
    <x v="37"/>
    <d v="2026-05-03T00:00:00"/>
    <s v="Inbound - Current Client (DEPRECATED)"/>
    <s v="São Paulo, BR"/>
    <s v="20"/>
    <s v="12"/>
    <s v="Customer Success"/>
  </r>
  <r>
    <s v="OPP-10003"/>
    <s v="ACC-1094"/>
    <s v="Xylitol Beverages"/>
    <s v="Lucas Almeida"/>
    <s v="Xylitol Beverages - DDM - Media - Activation - Platforms Reselling - 01/2026"/>
    <s v="Project - Not Competitive"/>
    <s v="Closed Won"/>
    <n v="40000"/>
    <s v="BRL"/>
    <n v="40000"/>
    <s v="BRL"/>
    <s v="DDM - Media - Activation - Platforms Reselling"/>
    <x v="24"/>
    <d v="2025-07-21T00:00:00"/>
    <s v="Referral - Internal"/>
    <s v="São Paulo, BR"/>
    <s v="92"/>
    <s v="12"/>
    <s v="Referral"/>
  </r>
  <r>
    <s v="OPP-10069"/>
    <s v="ACC-1022"/>
    <s v="Ember Hospitality"/>
    <s v="Sofia Guimaraes"/>
    <s v="Ember Hospitality - DDM - Media - Advisory - 04/2026"/>
    <s v="Change Order/Upsell"/>
    <s v="Closed Won"/>
    <n v="996914.04"/>
    <s v="BRL"/>
    <n v="996914.04"/>
    <s v="BRL"/>
    <s v="DDM - Media - Advisory"/>
    <x v="57"/>
    <d v="2025-12-12T00:00:00"/>
    <s v="Inbound - Current Client (DEPRECATED)"/>
    <s v="São Paulo, BR"/>
    <s v="12"/>
    <s v="10"/>
    <s v="Customer Success"/>
  </r>
  <r>
    <s v="OPP-10166"/>
    <s v="ACC-1066"/>
    <s v="Magnolia Retail"/>
    <s v="Carla Mendes"/>
    <s v="Magnolia Retail - DDM - Media - Advisory - 05/2026"/>
    <s v="Change Order/Upsell"/>
    <s v="Pitched"/>
    <n v="550700.35"/>
    <s v="BRL"/>
    <n v="550700.35"/>
    <s v="BRL"/>
    <s v="DDM - Media - Advisory"/>
    <x v="6"/>
    <d v="2026-06-03T00:00:00"/>
    <s v="Inbound - Current Client (DEPRECATED)"/>
    <s v="São Paulo, BR"/>
    <s v="39"/>
    <s v="6"/>
    <s v="Customer Success"/>
  </r>
  <r>
    <s v="OPP-10117"/>
    <s v="ACC-1037"/>
    <s v="Acacia Telecom"/>
    <s v="Bruno Costa"/>
    <s v="Acacia Telecom - DDM - Media - Activation - Platforms Reselling - 07/2026"/>
    <s v="Change Order/Upsell"/>
    <s v="Closed Won"/>
    <n v="11948.39"/>
    <s v="BRL"/>
    <n v="11948.39"/>
    <s v="BRL"/>
    <s v="DDM - Media - Creative"/>
    <x v="2"/>
    <d v="2026-03-02T00:00:00"/>
    <s v="Inbound - Current Client (DEPRECATED)"/>
    <s v="Votorantim, BR"/>
    <s v="19"/>
    <s v="1"/>
    <s v="Customer Success"/>
  </r>
  <r>
    <s v="OPP-10254"/>
    <s v="ACC-1064"/>
    <s v="Arrow Construction"/>
    <s v="Daniel Moura"/>
    <s v="Arrow Construction - DDM - Data - Services &amp; Tech - Services (Analytics &amp; Support) - 05/2026"/>
    <s v="Change Order/Upsell"/>
    <s v="Pitching"/>
    <n v="557613.6"/>
    <s v="BRL"/>
    <n v="557613.6"/>
    <s v="BRL"/>
    <s v="DDM - Media - Creative"/>
    <x v="3"/>
    <d v="2026-04-13T00:00:00"/>
    <s v="MH Lead (DEPRECATED)"/>
    <s v="São Carlos, BR"/>
    <s v="1"/>
    <s v="12"/>
    <s v="Unknown"/>
  </r>
  <r>
    <s v="OPP-10232"/>
    <s v="ACC-1064"/>
    <s v="Arrow Construction"/>
    <s v="Daniel Moura"/>
    <s v="Arrow Construction - DDM - Media - Managed Media (AOR) - 06/2026"/>
    <s v="Flex/Renewal"/>
    <s v="Pitching"/>
    <n v="883034.4"/>
    <s v="BRL"/>
    <n v="883034.4"/>
    <s v="BRL"/>
    <s v="DDM - Media - Creative"/>
    <x v="3"/>
    <d v="2026-08-04T00:00:00"/>
    <s v="Existing Client - Account/Growth Activity"/>
    <s v="São Carlos, BR"/>
    <s v="1"/>
    <s v="12"/>
    <s v="Customer Success"/>
  </r>
  <r>
    <s v="OPP-10027"/>
    <s v="ACC-1109"/>
    <s v="Bluefin Logistics"/>
    <s v="Lucas Almeida"/>
    <s v="Bluefin Logistics - DDM - Media - Creative - 06/2026"/>
    <s v="Retainer"/>
    <s v="Pitched"/>
    <n v="36000"/>
    <s v="BRL"/>
    <n v="12000"/>
    <s v="BRL"/>
    <s v="DDM - Media - Creative"/>
    <x v="10"/>
    <d v="2025-10-20T00:00:00"/>
    <s v="Inbound - Website - Media.Monks (DEPRECATED)"/>
    <s v="São Carlos, BR"/>
    <s v="76"/>
    <s v="12"/>
    <s v="Inbound"/>
  </r>
  <r>
    <s v="OPP-10228"/>
    <s v="ACC-1011"/>
    <s v="Cardamom Design"/>
    <s v="Xavier Correia"/>
    <s v="Cardamom Design - DDM - Media - Creative - 06/2026"/>
    <s v="Project - Competitive"/>
    <s v="Qualified"/>
    <n v="100000"/>
    <s v="BRL"/>
    <n v="100000"/>
    <s v="BRL"/>
    <s v="DDM - Media - Creative"/>
    <x v="3"/>
    <d v="2026-06-04T00:00:00"/>
    <s v="Referral - Internal"/>
    <s v="São Carlos, BR"/>
    <s v="4"/>
    <s v="12"/>
    <s v="Referral"/>
  </r>
  <r>
    <s v="OPP-10110"/>
    <s v="ACC-1062"/>
    <s v="Cedar Foods"/>
    <s v="Daniel Moura"/>
    <s v="Cedar Foods - DDM - Media - Creative - 06/2026"/>
    <s v="Change Order/Upsell"/>
    <s v="Pitched"/>
    <n v="4565828.57"/>
    <s v="BRL"/>
    <n v="1162468.52"/>
    <s v="BRL"/>
    <s v="DDM - Media - Creative"/>
    <x v="3"/>
    <d v="2026-01-26T00:00:00"/>
    <s v="Inbound - Current Client (DEPRECATED)"/>
    <s v="Votorantim, BR"/>
    <s v="33"/>
    <s v="12"/>
    <s v="Customer Success"/>
  </r>
  <r>
    <s v="OPP-10154"/>
    <s v="ACC-1119"/>
    <s v="Company 118"/>
    <s v="Wanda Borges"/>
    <s v="Company 118 - DDM - Media - Creative - 05/2026"/>
    <s v="Project - Competitive"/>
    <s v="Pitched"/>
    <n v="2344909.7999999998"/>
    <s v="BRL"/>
    <n v="768956.4"/>
    <s v="BRL"/>
    <s v="DDM - Media - Creative"/>
    <x v="1"/>
    <d v="2026-02-27T00:00:00"/>
    <s v="Inbound - Website - Media.Monks (DEPRECATED)"/>
    <s v="Votorantim, BR"/>
    <s v="15"/>
    <s v="12"/>
    <s v="Inbound"/>
  </r>
  <r>
    <s v="OPP-10173"/>
    <s v="ACC-1120"/>
    <s v="Company 119"/>
    <s v="Felipe Lima"/>
    <s v="Company 119 - DDM - Media - Creative - 05/2026"/>
    <s v="Project - Competitive"/>
    <s v="Pitched"/>
    <n v="894521"/>
    <s v="BRL"/>
    <n v="275800.2"/>
    <s v="BRL"/>
    <s v="DDM - Media - Creative"/>
    <x v="21"/>
    <d v="2026-11-03T00:00:00"/>
    <s v="Inbound - Website - Media.Monks (DEPRECATED)"/>
    <s v="São Carlos, BR"/>
    <s v="25"/>
    <s v="12"/>
    <s v="Inbound"/>
  </r>
  <r>
    <s v="OPP-10145"/>
    <s v="ACC-1126"/>
    <s v="Company 125"/>
    <s v="Xavier Correia"/>
    <s v="Company 125 - DDM - Media - Creative - 04/2026"/>
    <s v="Project - Competitive"/>
    <s v="Negotiation"/>
    <n v="456000"/>
    <s v="BRL"/>
    <n v="36000"/>
    <s v="BRL"/>
    <s v="DDM - Media - Creative"/>
    <x v="0"/>
    <d v="2026-02-20T00:00:00"/>
    <s v="Referral - Personal"/>
    <s v="Votorantim, BR"/>
    <s v="13"/>
    <s v="12"/>
    <s v="Referral"/>
  </r>
  <r>
    <s v="OPP-10255"/>
    <s v="ACC-1128"/>
    <s v="Company 127"/>
    <s v="Felipe Lima"/>
    <s v="Company 127 - DDM - Media - Creative - 05/2026"/>
    <s v="Project - Competitive"/>
    <s v="Opportunity Identified"/>
    <n v="0"/>
    <s v="BRL"/>
    <n v="0"/>
    <s v="BRL"/>
    <s v="DDM - Media - Creative"/>
    <x v="9"/>
    <d v="2026-04-13T00:00:00"/>
    <s v="Referral - Internal"/>
    <s v="São Carlos, BR"/>
    <s v="1"/>
    <m/>
    <s v="Referral"/>
  </r>
  <r>
    <s v="OPP-10036"/>
    <s v="ACC-1004"/>
    <s v="Harbor Grocers"/>
    <s v="Carla Mendes"/>
    <s v="Harbor Grocers - DDM - Media - Creative - 01/2026"/>
    <s v="Flex/Renewal"/>
    <s v="Closed Won"/>
    <n v="1038355.7999999999"/>
    <s v="BRL"/>
    <n v="241774.07999999999"/>
    <s v="BRL"/>
    <s v="DDM - Media - Creative"/>
    <x v="30"/>
    <d v="2025-06-11T00:00:00"/>
    <s v="Inbound - Current Client (DEPRECATED)"/>
    <s v="São Carlos, BR"/>
    <s v="90"/>
    <s v="12"/>
    <s v="Customer Success"/>
  </r>
  <r>
    <s v="OPP-10061"/>
    <s v="ACC-1004"/>
    <s v="Harbor Grocers"/>
    <s v="Carla Mendes"/>
    <s v="Harbor Grocers - DDM - Media - Creative - 01/2026"/>
    <s v="Change Order/Upsell"/>
    <s v="Closed Won"/>
    <n v="358921.88"/>
    <s v="BRL"/>
    <n v="107937.60000000001"/>
    <s v="BRL"/>
    <s v="DDM - Media - Creative"/>
    <x v="30"/>
    <d v="2025-04-12T00:00:00"/>
    <s v="Inbound - Current Client (DEPRECATED)"/>
    <s v="São Carlos, BR"/>
    <s v="90"/>
    <s v="12"/>
    <s v="Customer Success"/>
  </r>
  <r>
    <s v="OPP-10084"/>
    <s v="ACC-1004"/>
    <s v="Harbor Grocers"/>
    <s v="Carla Mendes"/>
    <s v="Harbor Grocers - DDM - Commerce - Content - 01/2026"/>
    <s v="Change Order/Upsell"/>
    <s v="Closed Won"/>
    <n v="45500"/>
    <s v="BRL"/>
    <n v="17600"/>
    <s v="BRL"/>
    <s v="DDM - Media - Creative"/>
    <x v="30"/>
    <d v="2025-12-23T00:00:00"/>
    <s v="Inbound - Current Client (DEPRECATED)"/>
    <s v="São Carlos, BR"/>
    <s v="90"/>
    <s v="2"/>
    <s v="Customer Success"/>
  </r>
  <r>
    <s v="OPP-10187"/>
    <s v="ACC-1004"/>
    <s v="Harbor Grocers"/>
    <s v="Carla Mendes"/>
    <s v="Harbor Grocers - DDM - Media - Creative - 01/2026"/>
    <s v="Change Order/Upsell"/>
    <s v="Closed Won"/>
    <n v="45500"/>
    <s v="BRL"/>
    <n v="17600"/>
    <s v="BRL"/>
    <s v="DDM - Media - Creative"/>
    <x v="31"/>
    <d v="2026-03-19T00:00:00"/>
    <s v="Inbound - Current Client (DEPRECATED)"/>
    <s v="São Carlos, BR"/>
    <s v="6"/>
    <s v="2"/>
    <s v="Customer Success"/>
  </r>
  <r>
    <s v="OPP-10062"/>
    <s v="ACC-1004"/>
    <s v="Harbor Grocers"/>
    <s v="Carla Mendes"/>
    <s v="Harbor Grocers - DDM - Commerce - Content - 04/2026"/>
    <s v="Change Order/Upsell"/>
    <s v="Closed Won"/>
    <n v="10000"/>
    <s v="BRL"/>
    <n v="10000"/>
    <s v="BRL"/>
    <s v="DDM - Media - Creative"/>
    <x v="49"/>
    <d v="2025-04-12T00:00:00"/>
    <s v="Inbound - Current Client (DEPRECATED)"/>
    <s v="São Carlos, BR"/>
    <s v="96"/>
    <s v="1"/>
    <s v="Customer Success"/>
  </r>
  <r>
    <s v="OPP-10046"/>
    <s v="ACC-1049"/>
    <s v="Hazel Construction"/>
    <s v="Bernardo Castro"/>
    <s v="Hazel Construction - DDM - Media - Managed Media (AOR) - 03/2026"/>
    <s v="Change Order/Upsell"/>
    <s v="Closed Won"/>
    <n v="604944.24"/>
    <s v="BRL"/>
    <n v="179794.32"/>
    <s v="BRL"/>
    <s v="DDM - Media - Creative"/>
    <x v="26"/>
    <d v="2025-11-17T00:00:00"/>
    <s v="Inbound - Current Client (DEPRECATED)"/>
    <s v="São Carlos, BR"/>
    <s v="48"/>
    <s v="12"/>
    <s v="Customer Success"/>
  </r>
  <r>
    <s v="OPP-10060"/>
    <s v="ACC-1005"/>
    <s v="Helios Tech"/>
    <s v="Lucas Almeida"/>
    <s v="Helios Tech - DDM - Media - Creative - 04/2026"/>
    <s v="Project - Competitive"/>
    <s v="Registration"/>
    <n v="993642.36"/>
    <s v="BRL"/>
    <n v="343152"/>
    <s v="BRL"/>
    <s v="DDM - Media - Creative"/>
    <x v="46"/>
    <d v="2025-03-12T00:00:00"/>
    <s v="Don't Know/Other (DEPRECATED)"/>
    <s v="Votorantim, BR"/>
    <s v="21"/>
    <s v="12"/>
    <s v="Unknown"/>
  </r>
  <r>
    <s v="OPP-10168"/>
    <s v="ACC-1069"/>
    <s v="Honeysuckle Travel"/>
    <s v="Bruno Costa"/>
    <s v="Honeysuckle Travel - DDM - Media - Creative - 05/2026"/>
    <s v="Flex/Renewal"/>
    <s v="Pitching"/>
    <n v="809225.34"/>
    <s v="BRL"/>
    <n v="215611.5"/>
    <s v="BRL"/>
    <s v="DDM - Media - Creative"/>
    <x v="6"/>
    <d v="2026-06-03T00:00:00"/>
    <s v="Inbound - Current Client (DEPRECATED)"/>
    <s v="São Carlos, BR"/>
    <s v="18"/>
    <s v="6"/>
    <s v="Customer Success"/>
  </r>
  <r>
    <s v="OPP-10170"/>
    <s v="ACC-1088"/>
    <s v="Indigo Utilities"/>
    <s v="Carla Mendes"/>
    <s v="Indigo Utilities - DDM - Media - Creative - 03/2026"/>
    <s v="Flex/Renewal"/>
    <s v="Closed Won"/>
    <n v="155444.76"/>
    <s v="BRL"/>
    <n v="155444.76"/>
    <s v="BRL"/>
    <s v="DDM - Media - Creative"/>
    <x v="14"/>
    <d v="2026-09-03T00:00:00"/>
    <s v="Inbound - Current Client (DEPRECATED)"/>
    <s v="São Carlos, BR"/>
    <s v="36"/>
    <s v="3"/>
    <s v="Customer Success"/>
  </r>
  <r>
    <s v="OPP-10050"/>
    <s v="ACC-1045"/>
    <s v="Jasper Security"/>
    <s v="Felipe Lima"/>
    <s v="Jasper Security - DDM - Media - Creative - 05/2026"/>
    <s v="Project - Competitive"/>
    <s v="Negotiation"/>
    <n v="6208423.2000000002"/>
    <s v="BRL"/>
    <n v="1014954.24"/>
    <s v="BRL"/>
    <s v="DDM - Media - Creative"/>
    <x v="9"/>
    <d v="2025-11-26T00:00:00"/>
    <s v="Referral - Internal"/>
    <s v="Votorantim, BR"/>
    <s v="64"/>
    <s v="12"/>
    <s v="Referral"/>
  </r>
  <r>
    <s v="OPP-10160"/>
    <s v="ACC-1065"/>
    <s v="Larkspur Foods"/>
    <s v="Joao Pereira"/>
    <s v="Larkspur Foods - DDM - Media - Creative - 05/2026"/>
    <s v="Project - Competitive"/>
    <s v="Pitched"/>
    <n v="265000"/>
    <s v="BRL"/>
    <n v="4000"/>
    <s v="BRL"/>
    <s v="DDM - Media - Creative"/>
    <x v="21"/>
    <d v="2026-03-03T00:00:00"/>
    <s v="Referral - Personal"/>
    <s v="São Carlos, BR"/>
    <s v="19"/>
    <s v="12"/>
    <s v="Referral"/>
  </r>
  <r>
    <s v="OPP-10144"/>
    <s v="ACC-1041"/>
    <s v="Linden Foods"/>
    <s v="Amanda Rios"/>
    <s v="Linden Foods - DDM - Media - Creative - 05/2026"/>
    <s v="Flex/Renewal"/>
    <s v="Negotiation"/>
    <n v="1926466.8"/>
    <s v="BRL"/>
    <n v="129525.6"/>
    <s v="BRL"/>
    <s v="DDM - Media - Creative"/>
    <x v="6"/>
    <d v="2026-02-20T00:00:00"/>
    <s v="Inbound - Current Client (DEPRECATED)"/>
    <s v="São Carlos, BR"/>
    <s v="26"/>
    <s v="12"/>
    <s v="Customer Success"/>
  </r>
  <r>
    <s v="OPP-10091"/>
    <s v="ACC-1084"/>
    <s v="Nigella Security"/>
    <s v="Bruno Costa"/>
    <s v="Nigella Security - DDM - Media - Managed Media (AOR) - 02/2026"/>
    <s v="Flex/Renewal"/>
    <s v="Closed Won"/>
    <n v="3156666.46"/>
    <s v="BRL"/>
    <n v="965866.44"/>
    <s v="BRL"/>
    <s v="DDM - Media - Creative"/>
    <x v="33"/>
    <d v="2026-12-01T00:00:00"/>
    <s v="Inbound - Current Client (DEPRECATED)"/>
    <s v="São Carlos, BR"/>
    <s v="47"/>
    <s v="12"/>
    <s v="Customer Success"/>
  </r>
  <r>
    <s v="OPP-10058"/>
    <s v="ACC-1095"/>
    <s v="Nimbus Media"/>
    <s v="Yasmin Nogueira"/>
    <s v="Nimbus Media - DDM - Media - Creative - 05/2026"/>
    <s v="Project - Competitive"/>
    <s v="Negotiation"/>
    <n v="2627267.83"/>
    <s v="BRL"/>
    <n v="290635.8"/>
    <s v="BRL"/>
    <s v="DDM - Media - Creative"/>
    <x v="12"/>
    <d v="2025-01-12T00:00:00"/>
    <s v="Referral - Personal"/>
    <s v="Votorantim, BR"/>
    <s v="54"/>
    <s v="12"/>
    <s v="Referral"/>
  </r>
  <r>
    <s v="OPP-10001"/>
    <s v="ACC-1031"/>
    <s v="Nova Studios"/>
    <s v="Queila Ribeiro"/>
    <s v="Nova Studios - DDM - Media - Creative - 04/2026"/>
    <s v="Change Order/Upsell"/>
    <s v="Registration"/>
    <n v="3043949.95"/>
    <s v="BRL"/>
    <n v="738948.26"/>
    <s v="BRL"/>
    <s v="DDM - Media - Creative"/>
    <x v="0"/>
    <d v="2025-05-19T00:00:00"/>
    <s v="Inbound - Current Client (DEPRECATED)"/>
    <s v="São Carlos, BR"/>
    <s v="130"/>
    <s v="12"/>
    <s v="Customer Success"/>
  </r>
  <r>
    <s v="OPP-10064"/>
    <s v="ACC-1031"/>
    <s v="Nova Studios"/>
    <s v="Queila Ribeiro"/>
    <s v="Nova Studios - DDM - Commerce - Content - 07/2026"/>
    <s v="Flex/Renewal"/>
    <s v="Registration"/>
    <n v="4235159.34"/>
    <s v="BRL"/>
    <n v="459539.83"/>
    <s v="BRL"/>
    <s v="DDM - Media - Creative"/>
    <x v="48"/>
    <d v="2025-08-12T00:00:00"/>
    <s v="Inbound - Current Client (DEPRECATED)"/>
    <s v="São Carlos, BR"/>
    <s v="26"/>
    <s v="6"/>
    <s v="Customer Success"/>
  </r>
  <r>
    <s v="OPP-10070"/>
    <s v="ACC-1031"/>
    <s v="Nova Studios"/>
    <s v="Queila Ribeiro"/>
    <s v="Nova Studios - DDM - Data - Services &amp; Tech - Services (Analytics &amp; Support) - 04/2026"/>
    <s v="Change Order/Upsell"/>
    <s v="Registration"/>
    <n v="594455.31000000006"/>
    <s v="BRL"/>
    <n v="206541.72"/>
    <s v="BRL"/>
    <s v="DDM - Media - Creative"/>
    <x v="0"/>
    <d v="2025-12-15T00:00:00"/>
    <s v="Inbound - Current Client (DEPRECATED)"/>
    <s v="São Carlos, BR"/>
    <s v="26"/>
    <s v="3"/>
    <s v="Customer Success"/>
  </r>
  <r>
    <s v="OPP-10080"/>
    <s v="ACC-1031"/>
    <s v="Nova Studios"/>
    <s v="Queila Ribeiro"/>
    <s v="Nova Studios - DDM - Media - Activation - Platforms Reselling - 04/2026"/>
    <s v="Change Order/Upsell"/>
    <s v="Closed Won"/>
    <n v="39230.949999999997"/>
    <s v="BRL"/>
    <n v="39230.949999999997"/>
    <s v="BRL"/>
    <s v="DDM - Media - Creative"/>
    <x v="58"/>
    <d v="2025-12-19T00:00:00"/>
    <s v="Inbound - Current Client (DEPRECATED)"/>
    <s v="São Carlos, BR"/>
    <s v="70"/>
    <s v="1"/>
    <s v="Customer Success"/>
  </r>
  <r>
    <s v="OPP-10011"/>
    <s v="ACC-1025"/>
    <s v="Nutmeg Gaming"/>
    <s v="Amanda Rios"/>
    <s v="Nutmeg Gaming - DDM - Media - Creative - 02/2026"/>
    <s v="Change Order/Upsell"/>
    <s v="Closed Won"/>
    <n v="180000"/>
    <s v="BRL"/>
    <n v="108000"/>
    <s v="BRL"/>
    <s v="DDM - Media - Creative"/>
    <x v="59"/>
    <d v="2025-08-29T00:00:00"/>
    <s v="Inbound - Current Client (DEPRECATED)"/>
    <s v="São Carlos, BR"/>
    <s v="64"/>
    <s v="12"/>
    <s v="Customer Success"/>
  </r>
  <r>
    <s v="OPP-10131"/>
    <s v="ACC-1033"/>
    <s v="Onyx Utilities"/>
    <s v="Amanda Rios"/>
    <s v="Onyx Utilities - DDM - Media - Creative - 05/2026"/>
    <s v="Change Order/Upsell"/>
    <s v="Pitched"/>
    <n v="1096669.2"/>
    <s v="BRL"/>
    <n v="1096669.2"/>
    <s v="BRL"/>
    <s v="DDM - Media - Creative"/>
    <x v="6"/>
    <d v="2026-12-02T00:00:00"/>
    <s v="Inbound - Current Client (DEPRECATED)"/>
    <s v="Votorantim, BR"/>
    <s v="47"/>
    <s v="12"/>
    <s v="Customer Success"/>
  </r>
  <r>
    <s v="OPP-10124"/>
    <s v="ACC-1040"/>
    <s v="Quartz Pharma"/>
    <s v="Sofia Guimaraes"/>
    <s v="Quartz Pharma -  - 06/2026"/>
    <s v="Change Order/Upsell"/>
    <s v="Pitching"/>
    <n v="845252.85"/>
    <s v="BRL"/>
    <n v="704595.14"/>
    <s v="BRL"/>
    <s v="DDM - Media - Creative"/>
    <x v="3"/>
    <d v="2026-06-02T00:00:00"/>
    <s v="Inbound - Current Client (DEPRECATED)"/>
    <s v="São Carlos, BR"/>
    <s v="36"/>
    <s v="12"/>
    <s v="Customer Success"/>
  </r>
  <r>
    <s v="OPP-10124"/>
    <s v="ACC-1040"/>
    <s v="Quartz Pharma"/>
    <s v="Sofia Guimaraes"/>
    <s v="Quartz Pharma - Content - Social - AOR - 06/2026"/>
    <s v="Change Order/Upsell"/>
    <s v="Pitching"/>
    <n v="845252.85"/>
    <s v="BRL"/>
    <n v="19950"/>
    <s v="BRL"/>
    <s v="DDM - Media - Creative"/>
    <x v="3"/>
    <d v="2026-06-02T00:00:00"/>
    <s v="Inbound - Current Client (DEPRECATED)"/>
    <s v="São Carlos, BR"/>
    <s v="36"/>
    <s v="12"/>
    <s v="Customer Success"/>
  </r>
  <r>
    <s v="OPP-10164"/>
    <s v="ACC-1036"/>
    <s v="Rowan Energy"/>
    <s v="Pedro Martins"/>
    <s v="Rowan Energy - DDM - Data - Services &amp; Tech - Services (Data Science/Data Eng.) - 05/2026"/>
    <s v="Change Order/Upsell"/>
    <s v="Closed Won"/>
    <n v="274209.96999999997"/>
    <s v="BRL"/>
    <n v="30382.46"/>
    <s v="BRL"/>
    <s v="DDM - Media - Creative"/>
    <x v="8"/>
    <d v="2026-05-03T00:00:00"/>
    <s v="Inbound - Current Client (DEPRECATED)"/>
    <s v="Votorantim, BR"/>
    <s v="40"/>
    <s v="1"/>
    <s v="Customer Success"/>
  </r>
  <r>
    <s v="OPP-10044"/>
    <s v="ACC-1063"/>
    <s v="Saffron Fashion"/>
    <s v="Ana Silva"/>
    <s v="Saffron Fashion - DDM - Media - Managed Media (AOR) - 01/2026"/>
    <s v="Change Order/Upsell"/>
    <s v="Closed Won"/>
    <n v="2518147.83"/>
    <s v="BRL"/>
    <n v="550471.68000000005"/>
    <s v="BRL"/>
    <s v="DDM - Media - Creative"/>
    <x v="29"/>
    <d v="2025-11-14T00:00:00"/>
    <s v="Inbound - Current Client (DEPRECATED)"/>
    <s v="São Carlos, BR"/>
    <s v="92"/>
    <s v="12"/>
    <s v="Customer Success"/>
  </r>
  <r>
    <s v="OPP-10072"/>
    <s v="ACC-1063"/>
    <s v="Saffron Fashion"/>
    <s v="Ana Silva"/>
    <s v="Saffron Fashion - DDM - Media - Managed Media (AOR) - 01/2026"/>
    <s v="Flex/Renewal"/>
    <s v="Closed Won"/>
    <n v="6770269.9100000001"/>
    <s v="BRL"/>
    <n v="911038.48"/>
    <s v="BRL"/>
    <s v="DDM - Media - Creative"/>
    <x v="18"/>
    <d v="2025-12-15T00:00:00"/>
    <s v="Inbound - Current Client (DEPRECATED)"/>
    <s v="São Carlos, BR"/>
    <s v="77"/>
    <s v="12"/>
    <s v="Customer Success"/>
  </r>
  <r>
    <s v="OPP-10023"/>
    <s v="ACC-1038"/>
    <s v="Sumac Telecom"/>
    <s v="Pedro Martins"/>
    <s v="Sumac Telecom - DDM - Media - Creative - 03/2026"/>
    <s v="Flex/Renewal"/>
    <s v="Closed Won"/>
    <n v="1758176.04"/>
    <s v="BRL"/>
    <n v="253104"/>
    <s v="BRL"/>
    <s v="DDM - Media - Creative"/>
    <x v="14"/>
    <d v="2025-09-10T00:00:00"/>
    <s v="Inbound - Current Client (DEPRECATED)"/>
    <s v="Votorantim, BR"/>
    <s v="36"/>
    <s v="12"/>
    <s v="Customer Success"/>
  </r>
  <r>
    <s v="OPP-10213"/>
    <s v="ACC-1006"/>
    <s v="Willow Beauty"/>
    <s v="Felipe Lima"/>
    <s v="Willow Beauty - Content - Platform - Performance, SEO, CRM &amp; Loyalty - 06/2026"/>
    <s v="Change Order/Upsell"/>
    <s v="Registration"/>
    <n v="139766.74"/>
    <s v="BRL"/>
    <n v="75060.7"/>
    <s v="BRL"/>
    <s v="DDM - Media - Creative"/>
    <x v="32"/>
    <d v="2026-03-30T00:00:00"/>
    <s v="Referral - S4 Company"/>
    <s v="Votorantim, BR"/>
    <s v="14"/>
    <s v="1"/>
    <s v="Referral"/>
  </r>
  <r>
    <s v="OPP-10143"/>
    <s v="ACC-1028"/>
    <s v="Xenon Realty"/>
    <s v="Bernardo Castro"/>
    <s v="Xenon Realty - DDM - Media - Creative - 05/2026"/>
    <s v="Change Order/Upsell"/>
    <s v="Negotiation"/>
    <n v="694094.88"/>
    <s v="BRL"/>
    <n v="401671.67999999999"/>
    <s v="BRL"/>
    <s v="DDM - Media - Creative"/>
    <x v="6"/>
    <d v="2026-02-19T00:00:00"/>
    <s v="Inbound - Current Client (DEPRECATED)"/>
    <s v="Votorantim, BR"/>
    <s v="33"/>
    <s v="12"/>
    <s v="Customer Success"/>
  </r>
  <r>
    <s v="OPP-10239"/>
    <s v="ACC-1028"/>
    <s v="Xenon Realty"/>
    <s v="Bernardo Castro"/>
    <s v="Xenon Realty - DDM - Media - Creative - 05/2026"/>
    <s v="Change Order/Upsell"/>
    <s v="Negotiation"/>
    <n v="57594.2"/>
    <s v="BRL"/>
    <n v="57594.2"/>
    <s v="BRL"/>
    <s v="DDM - Media - Creative"/>
    <x v="23"/>
    <d v="2026-09-04T00:00:00"/>
    <s v="Existing Client - Account/Growth Activity"/>
    <s v="Votorantim, BR"/>
    <s v="4"/>
    <s v="2"/>
    <s v="Customer Success"/>
  </r>
  <r>
    <s v="OPP-10051"/>
    <s v="ACC-1044"/>
    <s v="Yerba Studios"/>
    <s v="Carla Mendes"/>
    <s v="Yerba Studios - DDM - Media - Creative - 01/2026"/>
    <s v="Flex/Renewal"/>
    <s v="Closed Won"/>
    <n v="760000"/>
    <s v="BRL"/>
    <n v="164250"/>
    <s v="BRL"/>
    <s v="DDM - Media - Creative"/>
    <x v="18"/>
    <d v="2025-11-26T00:00:00"/>
    <s v="Inbound - Current Client (DEPRECATED)"/>
    <s v="São Carlos, BR"/>
    <s v="77"/>
    <s v="12"/>
    <s v="Customer Success"/>
  </r>
  <r>
    <s v="OPP-10076"/>
    <s v="ACC-1044"/>
    <s v="Yerba Studios"/>
    <s v="Carla Mendes"/>
    <s v="Yerba Studios - DDM - Media - Creative - 01/2026"/>
    <s v="Change Order/Upsell"/>
    <s v="Closed Won"/>
    <n v="10784"/>
    <s v="BRL"/>
    <n v="5392"/>
    <s v="BRL"/>
    <s v="DDM - Media - Creative"/>
    <x v="18"/>
    <d v="2025-12-18T00:00:00"/>
    <s v="Inbound - Current Client (DEPRECATED)"/>
    <s v="São Carlos, BR"/>
    <s v="77"/>
    <s v="12"/>
    <s v="Customer Success"/>
  </r>
  <r>
    <s v="OPP-10048"/>
    <s v="ACC-1106"/>
    <s v="Yucca Farms"/>
    <s v="Joao Pereira"/>
    <s v="Yucca Farms - DDM - Media - Creative - 03/2026"/>
    <s v="Project - Competitive"/>
    <s v="Closed Won"/>
    <n v="195525"/>
    <s v="BRL"/>
    <n v="51574.92"/>
    <s v="BRL"/>
    <s v="DDM - Media - Creative"/>
    <x v="11"/>
    <d v="2025-11-26T00:00:00"/>
    <s v="Referral - Personal"/>
    <s v="Votorantim, BR"/>
    <s v="14"/>
    <s v="3"/>
    <s v="Referral"/>
  </r>
  <r>
    <s v="OPP-10172"/>
    <s v="ACC-1085"/>
    <s v="Yumberry Mobile"/>
    <s v="Felipe Lima"/>
    <s v="Yumberry Mobile - DDM - Media - Creative - 05/2026"/>
    <s v="Project - Competitive"/>
    <s v="Negotiation"/>
    <n v="835250.32000000007"/>
    <s v="BRL"/>
    <n v="278294.40000000002"/>
    <s v="BRL"/>
    <s v="DDM - Media - Creative"/>
    <x v="9"/>
    <d v="2026-11-03T00:00:00"/>
    <s v="Referral - Internal"/>
    <s v="São Carlos, BR"/>
    <s v="25"/>
    <s v="12"/>
    <s v="Referral"/>
  </r>
  <r>
    <s v="OPP-10008"/>
    <s v="ACC-1015"/>
    <s v="Zinnia Apparel"/>
    <s v="Ana Silva"/>
    <s v="Zinnia Apparel - DDM - Media - Creative - 03/2026"/>
    <s v="Flex/Renewal"/>
    <s v="Closed Won"/>
    <n v="2706200.27"/>
    <s v="BRL"/>
    <n v="70270.64"/>
    <s v="BRL"/>
    <s v="DDM - Media - Creative"/>
    <x v="11"/>
    <d v="2025-08-22T00:00:00"/>
    <s v="Inbound - Current Client (DEPRECATED)"/>
    <s v="São Carlos, BR"/>
    <s v="14"/>
    <s v="12"/>
    <s v="Customer Success"/>
  </r>
  <r>
    <s v="OPP-10150"/>
    <s v="ACC-1037"/>
    <s v="Acacia Telecom"/>
    <s v="Bruno Costa"/>
    <s v="Acacia Telecom - Content - Social - AOR - 03/2026"/>
    <s v="Change Order/Upsell"/>
    <s v="Registration"/>
    <n v="601599.48"/>
    <s v="BRL"/>
    <n v="474051.84000000003"/>
    <s v="BRL"/>
    <s v="DDM - Media - Managed Media (AOR)"/>
    <x v="0"/>
    <d v="2026-02-26T00:00:00"/>
    <s v="Inbound - Current Client (DEPRECATED)"/>
    <s v="São Carlos, BR"/>
    <s v="42"/>
    <s v="12"/>
    <s v="Customer Success"/>
  </r>
  <r>
    <s v="OPP-10175"/>
    <s v="ACC-1007"/>
    <s v="Anise Beauty"/>
    <s v="Daniel Moura"/>
    <s v="Anise Beauty - DDM - Media - Managed Media (AOR) - 05/2026"/>
    <s v="Change Order/Upsell"/>
    <s v="Negotiation"/>
    <n v="1302107.45"/>
    <s v="BRL"/>
    <n v="1036486.24"/>
    <s v="BRL"/>
    <s v="DDM - Media - Managed Media (AOR)"/>
    <x v="6"/>
    <d v="2026-11-03T00:00:00"/>
    <s v="Don't Know/Other (DEPRECATED)"/>
    <s v="Votorantim, BR"/>
    <s v="15"/>
    <s v="12"/>
    <s v="Unknown"/>
  </r>
  <r>
    <s v="OPP-10015"/>
    <s v="ACC-1064"/>
    <s v="Arrow Construction"/>
    <s v="Daniel Moura"/>
    <s v="Arrow Construction - DDM - Media - Managed Media (AOR) - 01/2026"/>
    <s v="Flex/Renewal"/>
    <s v="Closed Won"/>
    <n v="106500"/>
    <s v="BRL"/>
    <n v="106500"/>
    <s v="BRL"/>
    <s v="DDM - Media - Managed Media (AOR)"/>
    <x v="27"/>
    <d v="2025-09-19T00:00:00"/>
    <s v="Inbound - Current Client (DEPRECATED)"/>
    <s v="São Carlos, BR"/>
    <s v="82"/>
    <s v="12"/>
    <s v="Customer Success"/>
  </r>
  <r>
    <s v="OPP-10026"/>
    <s v="ACC-1064"/>
    <s v="Arrow Construction"/>
    <s v="Daniel Moura"/>
    <s v="Arrow Construction - DDM - Media - Managed Media (AOR) - 01/2026"/>
    <s v="Flex/Renewal"/>
    <s v="Closed Won"/>
    <n v="247500"/>
    <s v="BRL"/>
    <n v="247500"/>
    <s v="BRL"/>
    <s v="DDM - Media - Managed Media (AOR)"/>
    <x v="43"/>
    <d v="2025-10-16T00:00:00"/>
    <s v="Inbound - Current Client (DEPRECATED)"/>
    <s v="São Carlos, BR"/>
    <s v="71"/>
    <s v="3"/>
    <s v="Customer Success"/>
  </r>
  <r>
    <s v="OPP-10161"/>
    <s v="ACC-1064"/>
    <s v="Arrow Construction"/>
    <s v="Daniel Moura"/>
    <s v="Arrow Construction - DDM - Media - Managed Media (AOR) - 01/2026"/>
    <s v="Change Order/Upsell"/>
    <s v="Registration"/>
    <n v="1438053.84"/>
    <s v="BRL"/>
    <n v="1438053.84"/>
    <s v="BRL"/>
    <s v="DDM - Media - Managed Media (AOR)"/>
    <x v="0"/>
    <d v="2026-04-03T00:00:00"/>
    <s v="Inbound - Current Client (DEPRECATED)"/>
    <s v="Votorantim, BR"/>
    <s v="41"/>
    <s v="12"/>
    <s v="Customer Success"/>
  </r>
  <r>
    <s v="OPP-10134"/>
    <s v="ACC-1064"/>
    <s v="Arrow Construction"/>
    <s v="Daniel Moura"/>
    <s v="Arrow Construction - DDM - Media - Managed Media (AOR) - 01/2026"/>
    <s v="Change Order/Upsell"/>
    <s v="Pitched"/>
    <n v="1429074.08"/>
    <s v="BRL"/>
    <n v="117901.4"/>
    <s v="BRL"/>
    <s v="DDM - Media - Managed Media (AOR)"/>
    <x v="1"/>
    <d v="2026-02-13T00:00:00"/>
    <s v="Inbound - Current Client (DEPRECATED)"/>
    <s v="São Carlos, BR"/>
    <s v="33"/>
    <s v="12"/>
    <s v="Customer Success"/>
  </r>
  <r>
    <s v="OPP-10053"/>
    <s v="ACC-1064"/>
    <s v="Arrow Construction"/>
    <s v="Daniel Moura"/>
    <s v="Arrow Construction - DDM - CRM - Other - 05/2026"/>
    <s v="Change Order/Upsell"/>
    <s v="Registration"/>
    <n v="235251.12000000002"/>
    <s v="BRL"/>
    <n v="187259.89"/>
    <s v="BRL"/>
    <s v="DDM - Media - Managed Media (AOR)"/>
    <x v="6"/>
    <d v="2025-11-28T00:00:00"/>
    <s v="Inbound - Current Client (DEPRECATED)"/>
    <s v="Votorantim, BR"/>
    <s v="69"/>
    <s v="12"/>
    <s v="Customer Success"/>
  </r>
  <r>
    <s v="OPP-10028"/>
    <s v="ACC-1064"/>
    <s v="Arrow Construction"/>
    <s v="Daniel Moura"/>
    <s v="Arrow Construction - DDM - Media - Managed Media (AOR) - 04/2026"/>
    <s v="Change Order/Upsell"/>
    <s v="Closed Won"/>
    <n v="112013.46"/>
    <s v="BRL"/>
    <n v="112013.46"/>
    <s v="BRL"/>
    <s v="DDM - Media - Managed Media (AOR)"/>
    <x v="50"/>
    <d v="2025-10-23T00:00:00"/>
    <s v="Inbound - Current Client (DEPRECATED)"/>
    <s v="São Carlos, BR"/>
    <s v="74"/>
    <s v="6"/>
    <s v="Customer Success"/>
  </r>
  <r>
    <s v="OPP-10018"/>
    <s v="ACC-1064"/>
    <s v="Arrow Construction"/>
    <s v="Daniel Moura"/>
    <s v="Arrow Construction -  - 06/2026"/>
    <s v="Change Order/Upsell"/>
    <s v="Closed Won"/>
    <n v="88500"/>
    <s v="BRL"/>
    <n v="88500"/>
    <s v="BRL"/>
    <s v="DDM - Media - Managed Media (AOR)"/>
    <x v="27"/>
    <d v="2025-09-26T00:00:00"/>
    <s v="Inbound - Current Client (DEPRECATED)"/>
    <s v="São Carlos, BR"/>
    <s v="82"/>
    <s v="12"/>
    <s v="Customer Success"/>
  </r>
  <r>
    <s v="OPP-10202"/>
    <s v="ACC-1064"/>
    <s v="Arrow Construction"/>
    <s v="Daniel Moura"/>
    <s v="Arrow Construction - DDM - Media - Creative - 06/2026"/>
    <s v="Change Order/Upsell"/>
    <s v="Qualified"/>
    <n v="0"/>
    <s v="BRL"/>
    <n v="0"/>
    <s v="BRL"/>
    <s v="DDM - Media - Managed Media (AOR)"/>
    <x v="3"/>
    <d v="2026-03-26T00:00:00"/>
    <s v="MH Lead (DEPRECATED)"/>
    <s v="Votorantim, BR"/>
    <s v="19"/>
    <s v="12"/>
    <s v="Unknown"/>
  </r>
  <r>
    <s v="OPP-10040"/>
    <s v="ACC-1059"/>
    <s v="Basalt Mining"/>
    <s v="Amanda Rios"/>
    <s v="Basalt Mining - DDM - Media - Managed Media (AOR) - 01/2026"/>
    <s v="Flex/Renewal"/>
    <s v="Closed Won"/>
    <n v="253579.55"/>
    <s v="BRL"/>
    <n v="101137.49"/>
    <s v="BRL"/>
    <s v="DDM - Media - Managed Media (AOR)"/>
    <x v="43"/>
    <d v="2025-11-14T00:00:00"/>
    <s v="Inbound - Current Client (DEPRECATED)"/>
    <s v="São Carlos, BR"/>
    <s v="69"/>
    <s v="1"/>
    <s v="Customer Success"/>
  </r>
  <r>
    <s v="OPP-10090"/>
    <s v="ACC-1059"/>
    <s v="Basalt Mining"/>
    <s v="Amanda Rios"/>
    <s v="Basalt Mining - DDM - Media - Managed Media (AOR) - 05/2026"/>
    <s v="Flex/Renewal"/>
    <s v="Negotiation"/>
    <n v="2132708.1"/>
    <s v="BRL"/>
    <n v="303403.38"/>
    <s v="BRL"/>
    <s v="DDM - Media - Managed Media (AOR)"/>
    <x v="6"/>
    <d v="2026-12-01T00:00:00"/>
    <s v="Inbound - Current Client (DEPRECATED)"/>
    <s v="São Carlos, BR"/>
    <s v="8"/>
    <s v="12"/>
    <s v="Customer Success"/>
  </r>
  <r>
    <s v="OPP-10259"/>
    <s v="ACC-1002"/>
    <s v="Birch Studios"/>
    <s v="Gabriela Nunes"/>
    <s v="Birch Studios - DDM - Media - Managed Media (AOR) - 05/2026"/>
    <m/>
    <s v="Opportunity Identified"/>
    <n v="370000"/>
    <s v="USD"/>
    <n v="370000"/>
    <s v="USD"/>
    <s v="DDM - Media - Managed Media (AOR)"/>
    <x v="6"/>
    <d v="2026-04-14T00:00:00"/>
    <s v="Existing Client - Account/Growth Activity"/>
    <s v="São Carlos, BR"/>
    <s v="1"/>
    <s v="12"/>
    <s v="Customer Success"/>
  </r>
  <r>
    <s v="OPP-10027"/>
    <s v="ACC-1109"/>
    <s v="Bluefin Logistics"/>
    <s v="Lucas Almeida"/>
    <s v="Bluefin Logistics - DDM - Media - Managed Media (AOR) - 06/2026"/>
    <s v="Retainer"/>
    <s v="Pitched"/>
    <n v="36000"/>
    <s v="BRL"/>
    <n v="12000"/>
    <s v="BRL"/>
    <s v="DDM - Media - Managed Media (AOR)"/>
    <x v="10"/>
    <d v="2025-10-20T00:00:00"/>
    <s v="Inbound - Website - Media.Monks (DEPRECATED)"/>
    <s v="São Carlos, BR"/>
    <s v="76"/>
    <s v="12"/>
    <s v="Inbound"/>
  </r>
  <r>
    <s v="OPP-10110"/>
    <s v="ACC-1062"/>
    <s v="Cedar Foods"/>
    <s v="Daniel Moura"/>
    <s v="Cedar Foods - DDM - Media - Managed Media (AOR) - 06/2026"/>
    <s v="Change Order/Upsell"/>
    <s v="Pitched"/>
    <n v="4565828.57"/>
    <s v="BRL"/>
    <n v="1423654.78"/>
    <s v="BRL"/>
    <s v="DDM - Media - Managed Media (AOR)"/>
    <x v="3"/>
    <d v="2026-01-26T00:00:00"/>
    <s v="Inbound - Current Client (DEPRECATED)"/>
    <s v="Votorantim, BR"/>
    <s v="33"/>
    <s v="12"/>
    <s v="Customer Success"/>
  </r>
  <r>
    <s v="OPP-10049"/>
    <s v="ACC-1107"/>
    <s v="Cobalt SaaS"/>
    <s v="Xavier Correia"/>
    <s v="Cobalt SaaS - DDM - Media - Managed Media (AOR) - 01/2026"/>
    <s v="Project - Not Competitive"/>
    <s v="Closed Won"/>
    <n v="1680000"/>
    <s v="BRL"/>
    <n v="1680000"/>
    <s v="BRL"/>
    <s v="DDM - Media - Managed Media (AOR)"/>
    <x v="30"/>
    <d v="2025-11-26T00:00:00"/>
    <s v="Referral - Personal"/>
    <s v="Votorantim, BR"/>
    <s v="90"/>
    <s v="12"/>
    <s v="Referral"/>
  </r>
  <r>
    <s v="OPP-10099"/>
    <s v="ACC-1112"/>
    <s v="Company 111"/>
    <s v="Xavier Correia"/>
    <s v="Company 111 - DDM - Media - Managed Media (AOR) - 02/2026"/>
    <s v="Project - Competitive"/>
    <s v="Closed Won"/>
    <n v="4293965.2399999993"/>
    <s v="BRL"/>
    <n v="2320969.56"/>
    <s v="BRL"/>
    <s v="DDM - Media - Managed Media (AOR)"/>
    <x v="4"/>
    <d v="2026-01-20T00:00:00"/>
    <s v="Referral - S4 Company"/>
    <s v="São Carlos, BR"/>
    <s v="46"/>
    <s v="12"/>
    <s v="Referral"/>
  </r>
  <r>
    <s v="OPP-10205"/>
    <s v="ACC-1114"/>
    <s v="Company 113"/>
    <s v="Wanda Borges"/>
    <s v="Company 113 -  - 07/2026"/>
    <s v="Project - Competitive"/>
    <s v="Registration"/>
    <n v="171761.3"/>
    <s v="BRL"/>
    <n v="171761.3"/>
    <s v="BRL"/>
    <s v="DDM - Media - Managed Media (AOR)"/>
    <x v="60"/>
    <d v="2026-03-27T00:00:00"/>
    <s v="Referral - S4 Company"/>
    <s v="São Paulo, BR"/>
    <s v="15"/>
    <s v="10"/>
    <s v="Referral"/>
  </r>
  <r>
    <s v="OPP-10242"/>
    <s v="ACC-1115"/>
    <s v="Company 114"/>
    <s v="Xavier Correia"/>
    <s v="Company 114 - DDM - Media - Managed Media (AOR) - 06/2026"/>
    <s v="Project - Competitive"/>
    <s v="Pitched"/>
    <n v="877063.2"/>
    <s v="BRL"/>
    <n v="416671.2"/>
    <s v="BRL"/>
    <s v="DDM - Media - Managed Media (AOR)"/>
    <x v="3"/>
    <d v="2026-10-04T00:00:00"/>
    <s v="MH Lead (DEPRECATED)"/>
    <s v="Votorantim, BR"/>
    <s v="4"/>
    <s v="12"/>
    <s v="Unknown"/>
  </r>
  <r>
    <s v="OPP-10146"/>
    <s v="ACC-1116"/>
    <s v="Company 115"/>
    <s v="Lucas Almeida"/>
    <s v="Company 115 - DDM - Media - Managed Media (AOR) - 05/2026"/>
    <s v="Project - Not Competitive"/>
    <s v="Opportunity Identified"/>
    <n v="935328"/>
    <s v="BRL"/>
    <n v="935328"/>
    <s v="BRL"/>
    <s v="DDM - Media - Managed Media (AOR)"/>
    <x v="61"/>
    <d v="2026-02-23T00:00:00"/>
    <s v="Referral - Internal"/>
    <s v="São Carlos, BR"/>
    <s v="50"/>
    <s v="12"/>
    <s v="Referral"/>
  </r>
  <r>
    <s v="OPP-10154"/>
    <s v="ACC-1119"/>
    <s v="Company 118"/>
    <s v="Wanda Borges"/>
    <s v="Company 118 - DDM - Media - Managed Media (AOR) - 05/2026"/>
    <s v="Project - Competitive"/>
    <s v="Pitched"/>
    <n v="2344909.7999999998"/>
    <s v="BRL"/>
    <n v="321776.88"/>
    <s v="BRL"/>
    <s v="DDM - Media - Managed Media (AOR)"/>
    <x v="1"/>
    <d v="2026-02-27T00:00:00"/>
    <s v="Inbound - Website - Media.Monks (DEPRECATED)"/>
    <s v="Votorantim, BR"/>
    <s v="15"/>
    <s v="12"/>
    <s v="Inbound"/>
  </r>
  <r>
    <s v="OPP-10173"/>
    <s v="ACC-1120"/>
    <s v="Company 119"/>
    <s v="Felipe Lima"/>
    <s v="Company 119 - DDM - Media - Managed Media (AOR) - 05/2026"/>
    <s v="Project - Competitive"/>
    <s v="Pitched"/>
    <n v="894521"/>
    <s v="BRL"/>
    <n v="574768.80000000005"/>
    <s v="BRL"/>
    <s v="DDM - Media - Managed Media (AOR)"/>
    <x v="21"/>
    <d v="2026-11-03T00:00:00"/>
    <s v="Inbound - Website - Media.Monks (DEPRECATED)"/>
    <s v="São Carlos, BR"/>
    <s v="25"/>
    <s v="12"/>
    <s v="Inbound"/>
  </r>
  <r>
    <s v="OPP-10231"/>
    <s v="ACC-1122"/>
    <s v="Company 121"/>
    <s v="Joao Pereira"/>
    <s v="Company 121 - Content - Platform - Website Creation &amp; Production - 05/2026"/>
    <s v="Project - Competitive"/>
    <s v="Pitched"/>
    <n v="374000"/>
    <s v="BRL"/>
    <n v="354000"/>
    <s v="BRL"/>
    <s v="DDM - Media - Managed Media (AOR)"/>
    <x v="15"/>
    <d v="2026-08-04T00:00:00"/>
    <s v="Referral - Personal"/>
    <s v="São Carlos, BR"/>
    <s v="4"/>
    <s v="12"/>
    <s v="Referral"/>
  </r>
  <r>
    <s v="OPP-10197"/>
    <s v="ACC-1123"/>
    <s v="Company 122"/>
    <s v="Thiago Freitas"/>
    <s v="Company 122 - DDM - Media - Managed Media (AOR) - 05/2026"/>
    <s v="Project - Not Competitive"/>
    <s v="Qualified"/>
    <n v="35000"/>
    <s v="BRL"/>
    <n v="35000"/>
    <s v="BRL"/>
    <s v="DDM - Media - Managed Media (AOR)"/>
    <x v="6"/>
    <d v="2026-03-26T00:00:00"/>
    <s v="Inbound - Website - Media.Monks (DEPRECATED)"/>
    <s v="São Paulo, BR"/>
    <s v="1"/>
    <s v="3"/>
    <s v="Inbound"/>
  </r>
  <r>
    <s v="OPP-10145"/>
    <s v="ACC-1126"/>
    <s v="Company 125"/>
    <s v="Xavier Correia"/>
    <s v="Company 125 - DDM - Media - Managed Media (AOR) - 04/2026"/>
    <s v="Project - Competitive"/>
    <s v="Negotiation"/>
    <n v="456000"/>
    <s v="BRL"/>
    <n v="420000"/>
    <s v="BRL"/>
    <s v="DDM - Media - Managed Media (AOR)"/>
    <x v="0"/>
    <d v="2026-02-20T00:00:00"/>
    <s v="Referral - Personal"/>
    <s v="Votorantim, BR"/>
    <s v="13"/>
    <s v="12"/>
    <s v="Referral"/>
  </r>
  <r>
    <s v="OPP-10255"/>
    <s v="ACC-1128"/>
    <s v="Company 127"/>
    <s v="Felipe Lima"/>
    <s v="Company 127 - DDM - Media - Managed Media (AOR) - 05/2026"/>
    <s v="Project - Competitive"/>
    <s v="Opportunity Identified"/>
    <n v="0"/>
    <s v="BRL"/>
    <n v="0"/>
    <s v="BRL"/>
    <s v="DDM - Media - Managed Media (AOR)"/>
    <x v="9"/>
    <d v="2026-04-13T00:00:00"/>
    <s v="Referral - Internal"/>
    <s v="São Carlos, BR"/>
    <s v="1"/>
    <m/>
    <s v="Referral"/>
  </r>
  <r>
    <s v="OPP-10038"/>
    <s v="ACC-1046"/>
    <s v="Cypress Air"/>
    <s v="Wanda Borges"/>
    <s v="Cypress Air - DDM - Media - Managed Media (AOR) - 02/2026"/>
    <s v="Project - Competitive"/>
    <s v="Closed Won"/>
    <n v="589446.40999999992"/>
    <s v="BRL"/>
    <n v="548136.6"/>
    <s v="BRL"/>
    <s v="DDM - Media - Managed Media (AOR)"/>
    <x v="4"/>
    <d v="2025-11-11T00:00:00"/>
    <s v="Inbound - Marketing (DEPRECATED)"/>
    <s v="Votorantim, BR"/>
    <s v="46"/>
    <s v="12"/>
    <s v="Inbound"/>
  </r>
  <r>
    <s v="OPP-10052"/>
    <s v="ACC-1016"/>
    <s v="Elm Realty"/>
    <s v="Pedro Martins"/>
    <s v="Elm Realty - DDM - Media - Managed Media (AOR) - 03/2026"/>
    <s v="Flex/Renewal"/>
    <s v="Closed Won"/>
    <n v="517703.16"/>
    <s v="BRL"/>
    <n v="420864.6"/>
    <s v="BRL"/>
    <s v="DDM - Media - Managed Media (AOR)"/>
    <x v="44"/>
    <d v="2025-11-27T00:00:00"/>
    <s v="MH Lead (DEPRECATED)"/>
    <s v="Votorantim, BR"/>
    <s v="22"/>
    <s v="12"/>
    <s v="Unknown"/>
  </r>
  <r>
    <s v="OPP-10107"/>
    <s v="ACC-1016"/>
    <s v="Elm Realty"/>
    <s v="Pedro Martins"/>
    <s v="Elm Realty - DDM - Media - Managed Media (AOR) - 03/2026"/>
    <s v="Change Order/Upsell"/>
    <s v="Closed Won"/>
    <n v="164120.28"/>
    <s v="BRL"/>
    <n v="164120.28"/>
    <s v="BRL"/>
    <s v="DDM - Media - Managed Media (AOR)"/>
    <x v="54"/>
    <d v="2026-01-23T00:00:00"/>
    <s v="Inbound - Current Client (DEPRECATED)"/>
    <s v="Votorantim, BR"/>
    <s v="35"/>
    <s v="12"/>
    <s v="Customer Success"/>
  </r>
  <r>
    <s v="OPP-10073"/>
    <s v="ACC-1016"/>
    <s v="Elm Realty"/>
    <s v="Pedro Martins"/>
    <s v="Elm Realty - DDM - Data - Services &amp; Tech - Services (Analytics &amp; Support) - 03/2026"/>
    <s v="Change Order/Upsell"/>
    <s v="Closed Won"/>
    <n v="76299"/>
    <s v="BRL"/>
    <n v="76299"/>
    <s v="BRL"/>
    <s v="DDM - Media - Managed Media (AOR)"/>
    <x v="44"/>
    <d v="2025-12-18T00:00:00"/>
    <s v="Inbound - Current Client (DEPRECATED)"/>
    <s v="Votorantim, BR"/>
    <s v="22"/>
    <s v="12"/>
    <s v="Customer Success"/>
  </r>
  <r>
    <s v="OPP-10191"/>
    <s v="ACC-1016"/>
    <s v="Elm Realty"/>
    <s v="Pedro Martins"/>
    <s v="Elm Realty - DDM - Data - Services &amp; Tech - Services (Analytics &amp; Support) - 03/2026"/>
    <s v="Flex/Renewal"/>
    <s v="Closed Won"/>
    <n v="486654.96"/>
    <s v="BRL"/>
    <n v="389804.64"/>
    <s v="BRL"/>
    <s v="DDM - Media - Managed Media (AOR)"/>
    <x v="45"/>
    <d v="2026-03-20T00:00:00"/>
    <s v="Inbound - Current Client (DEPRECATED)"/>
    <s v="Votorantim, BR"/>
    <s v="25"/>
    <s v="12"/>
    <s v="Customer Success"/>
  </r>
  <r>
    <s v="OPP-10097"/>
    <s v="ACC-1014"/>
    <s v="Fern Agriculture"/>
    <s v="Lucas Almeida"/>
    <s v="Fern Agriculture - DDM - Media - Managed Media (AOR) - 04/2026"/>
    <s v="Project - Not Competitive"/>
    <s v="Registration"/>
    <n v="1410000"/>
    <s v="BRL"/>
    <n v="934800"/>
    <s v="BRL"/>
    <s v="DDM - Media - Managed Media (AOR)"/>
    <x v="7"/>
    <d v="2026-01-16T00:00:00"/>
    <s v="Inbound - Website - Media.Monks (DEPRECATED)"/>
    <s v="Votorantim, BR"/>
    <s v="21"/>
    <s v="12"/>
    <s v="Inbound"/>
  </r>
  <r>
    <s v="OPP-10176"/>
    <s v="ACC-1102"/>
    <s v="Fjord Travel"/>
    <s v="Daniel Moura"/>
    <s v="Fjord Travel - DDM - Media - Managed Media (AOR) - 05/2026"/>
    <s v="Change Order/Upsell"/>
    <s v="Negotiation"/>
    <n v="585915.63"/>
    <s v="BRL"/>
    <n v="466392.76"/>
    <s v="BRL"/>
    <s v="DDM - Media - Managed Media (AOR)"/>
    <x v="6"/>
    <d v="2026-11-03T00:00:00"/>
    <s v="Don't Know/Other (DEPRECATED)"/>
    <s v="Votorantim, BR"/>
    <s v="15"/>
    <s v="12"/>
    <s v="Unknown"/>
  </r>
  <r>
    <s v="OPP-10042"/>
    <s v="ACC-1072"/>
    <s v="Ginger Realty"/>
    <s v="Amanda Rios"/>
    <s v="Ginger Realty - DDM - Media - Managed Media (AOR) - 01/2026"/>
    <s v="Flex/Renewal"/>
    <s v="Closed Won"/>
    <n v="429774"/>
    <s v="BRL"/>
    <n v="429774"/>
    <s v="BRL"/>
    <s v="DDM - Media - Managed Media (AOR)"/>
    <x v="62"/>
    <d v="2025-11-14T00:00:00"/>
    <s v="Inbound - Current Client (DEPRECATED)"/>
    <s v="Votorantim, BR"/>
    <s v="89"/>
    <s v="6"/>
    <s v="Customer Success"/>
  </r>
  <r>
    <s v="OPP-10245"/>
    <s v="ACC-1072"/>
    <s v="Ginger Realty"/>
    <s v="Amanda Rios"/>
    <s v="Ginger Realty - DDM - Media - Managed Media (AOR) - 07/2026"/>
    <s v="Flex/Renewal"/>
    <s v="Qualified"/>
    <n v="406131.72"/>
    <s v="BRL"/>
    <n v="406131.72"/>
    <s v="BRL"/>
    <s v="DDM - Media - Managed Media (AOR)"/>
    <x v="13"/>
    <d v="2026-10-04T00:00:00"/>
    <s v="Existing Client - Account/Growth Activity"/>
    <s v="Votorantim, BR"/>
    <s v="4"/>
    <s v="6"/>
    <s v="Customer Success"/>
  </r>
  <r>
    <s v="OPP-10199"/>
    <s v="ACC-1048"/>
    <s v="Ginkgo Utilities"/>
    <s v="Daniel Moura"/>
    <s v="Ginkgo Utilities - DDM - Media - Managed Media (AOR) - 06/2026"/>
    <s v="Change Order/Upsell"/>
    <s v="Pitched"/>
    <n v="91615.13"/>
    <s v="BRL"/>
    <n v="91615.13"/>
    <s v="BRL"/>
    <s v="DDM - Media - Managed Media (AOR)"/>
    <x v="3"/>
    <d v="2026-03-26T00:00:00"/>
    <s v="MH Lead (DEPRECATED)"/>
    <s v="Votorantim, BR"/>
    <s v="0"/>
    <s v="12"/>
    <s v="Unknown"/>
  </r>
  <r>
    <s v="OPP-10093"/>
    <s v="ACC-1110"/>
    <s v="Glacier Energy"/>
    <s v="Lucas Almeida"/>
    <s v="Glacier Energy - DDM - Media - Managed Media (AOR) - 06/2026"/>
    <s v="Project - Competitive"/>
    <s v="Pitched"/>
    <n v="391800"/>
    <s v="BRL"/>
    <n v="391800"/>
    <s v="BRL"/>
    <s v="DDM - Media - Managed Media (AOR)"/>
    <x v="16"/>
    <d v="2026-01-13T00:00:00"/>
    <s v="Referral - Internal"/>
    <s v="Votorantim, BR"/>
    <s v="64"/>
    <s v="12"/>
    <s v="Referral"/>
  </r>
  <r>
    <s v="OPP-10036"/>
    <s v="ACC-1004"/>
    <s v="Harbor Grocers"/>
    <s v="Carla Mendes"/>
    <s v="Harbor Grocers - DDM - Media - Managed Media (AOR) - 01/2026"/>
    <s v="Flex/Renewal"/>
    <s v="Closed Won"/>
    <n v="1038355.7999999999"/>
    <s v="BRL"/>
    <n v="600429.6"/>
    <s v="BRL"/>
    <s v="DDM - Media - Managed Media (AOR)"/>
    <x v="30"/>
    <d v="2025-06-11T00:00:00"/>
    <s v="Inbound - Current Client (DEPRECATED)"/>
    <s v="São Carlos, BR"/>
    <s v="90"/>
    <s v="12"/>
    <s v="Customer Success"/>
  </r>
  <r>
    <s v="OPP-10075"/>
    <s v="ACC-1004"/>
    <s v="Harbor Grocers"/>
    <s v="Carla Mendes"/>
    <s v="Harbor Grocers - DDM - Media - Creative - 01/2026"/>
    <s v="Change Order/Upsell"/>
    <s v="Closed Won"/>
    <n v="228000"/>
    <s v="BRL"/>
    <n v="228000"/>
    <s v="BRL"/>
    <s v="DDM - Media - Managed Media (AOR)"/>
    <x v="17"/>
    <d v="2025-12-18T00:00:00"/>
    <s v="Inbound - Current Client (DEPRECATED)"/>
    <s v="São Carlos, BR"/>
    <s v="99"/>
    <s v="6"/>
    <s v="Customer Success"/>
  </r>
  <r>
    <s v="OPP-10066"/>
    <s v="ACC-1049"/>
    <s v="Hazel Construction"/>
    <s v="Bernardo Castro"/>
    <s v="Hazel Construction - Content - Social - AOR - 01/2026"/>
    <s v="Flex/Renewal"/>
    <s v="Closed Won"/>
    <n v="1546078.56"/>
    <s v="BRL"/>
    <n v="133226.4"/>
    <s v="BRL"/>
    <s v="DDM - Media - Managed Media (AOR)"/>
    <x v="25"/>
    <d v="2025-08-12T00:00:00"/>
    <s v="Inbound - Current Client (DEPRECATED)"/>
    <s v="São Carlos, BR"/>
    <s v="33"/>
    <s v="12"/>
    <s v="Customer Success"/>
  </r>
  <r>
    <s v="OPP-10046"/>
    <s v="ACC-1049"/>
    <s v="Hazel Construction"/>
    <s v="Bernardo Castro"/>
    <s v="Hazel Construction - DDM - Data - Services &amp; Tech - Services (Analytics &amp; Support) - 03/2026"/>
    <s v="Change Order/Upsell"/>
    <s v="Closed Won"/>
    <n v="604944.24"/>
    <s v="BRL"/>
    <n v="117445.56"/>
    <s v="BRL"/>
    <s v="DDM - Media - Managed Media (AOR)"/>
    <x v="26"/>
    <d v="2025-11-17T00:00:00"/>
    <s v="Inbound - Current Client (DEPRECATED)"/>
    <s v="São Carlos, BR"/>
    <s v="48"/>
    <s v="12"/>
    <s v="Customer Success"/>
  </r>
  <r>
    <s v="OPP-10185"/>
    <s v="ACC-1049"/>
    <s v="Hazel Construction"/>
    <s v="Bernardo Castro"/>
    <s v="Hazel Construction - Content - Social - AOR - 05/2026"/>
    <s v="Change Order/Upsell"/>
    <s v="Registration"/>
    <n v="3000"/>
    <s v="BRL"/>
    <n v="3000"/>
    <s v="BRL"/>
    <s v="DDM - Media - Managed Media (AOR)"/>
    <x v="48"/>
    <d v="2026-03-18T00:00:00"/>
    <s v="Inbound - Current Client (DEPRECATED)"/>
    <s v="São Carlos, BR"/>
    <s v="14"/>
    <s v="1"/>
    <s v="Customer Success"/>
  </r>
  <r>
    <s v="OPP-10060"/>
    <s v="ACC-1005"/>
    <s v="Helios Tech"/>
    <s v="Lucas Almeida"/>
    <s v="Helios Tech - DDM - Media - Managed Media (AOR) - 04/2026"/>
    <s v="Project - Competitive"/>
    <s v="Registration"/>
    <n v="993642.36"/>
    <s v="BRL"/>
    <n v="593490.36"/>
    <s v="BRL"/>
    <s v="DDM - Media - Managed Media (AOR)"/>
    <x v="46"/>
    <d v="2025-03-12T00:00:00"/>
    <s v="Don't Know/Other (DEPRECATED)"/>
    <s v="Votorantim, BR"/>
    <s v="21"/>
    <s v="12"/>
    <s v="Unknown"/>
  </r>
  <r>
    <s v="OPP-10168"/>
    <s v="ACC-1069"/>
    <s v="Honeysuckle Travel"/>
    <s v="Bruno Costa"/>
    <s v="Honeysuckle Travel - DDM - Media - Managed Media (AOR) - 05/2026"/>
    <s v="Flex/Renewal"/>
    <s v="Pitching"/>
    <n v="809225.34"/>
    <s v="BRL"/>
    <n v="335907.9"/>
    <s v="BRL"/>
    <s v="DDM - Media - Managed Media (AOR)"/>
    <x v="6"/>
    <d v="2026-06-03T00:00:00"/>
    <s v="Inbound - Current Client (DEPRECATED)"/>
    <s v="São Carlos, BR"/>
    <s v="18"/>
    <s v="6"/>
    <s v="Customer Success"/>
  </r>
  <r>
    <s v="OPP-10168"/>
    <s v="ACC-1069"/>
    <s v="Honeysuckle Travel"/>
    <s v="Bruno Costa"/>
    <s v="Honeysuckle Travel - DDM - Media - Managed Media (AOR) - 05/2026"/>
    <s v="Flex/Renewal"/>
    <s v="Pitching"/>
    <n v="809225.34"/>
    <s v="BRL"/>
    <n v="31595.88"/>
    <s v="BRL"/>
    <s v="DDM - Media - Managed Media (AOR)"/>
    <x v="6"/>
    <d v="2026-06-03T00:00:00"/>
    <s v="Inbound - Current Client (DEPRECATED)"/>
    <s v="São Carlos, BR"/>
    <s v="18"/>
    <s v="6"/>
    <s v="Customer Success"/>
  </r>
  <r>
    <s v="OPP-10167"/>
    <s v="ACC-1003"/>
    <s v="Ibis Mobility"/>
    <s v="Bruno Costa"/>
    <s v="Ibis Mobility - DDM - Media - Managed Media (AOR) - 05/2026"/>
    <s v="Flex/Renewal"/>
    <s v="Pitched"/>
    <n v="120000"/>
    <s v="BRL"/>
    <n v="120000"/>
    <s v="BRL"/>
    <s v="DDM - Media - Managed Media (AOR)"/>
    <x v="6"/>
    <d v="2026-06-03T00:00:00"/>
    <s v="Inbound - Current Client (DEPRECATED)"/>
    <s v="São Paulo, BR"/>
    <s v="32"/>
    <s v="12"/>
    <s v="Customer Success"/>
  </r>
  <r>
    <s v="OPP-10250"/>
    <s v="ACC-1018"/>
    <s v="Ivy Cloud"/>
    <s v="Karina Oliveira"/>
    <s v="Ivy Cloud - DDM - Media - Managed Media (AOR) - 07/2026"/>
    <s v="Flex/Renewal"/>
    <s v="Qualified"/>
    <n v="645960"/>
    <s v="BRL"/>
    <n v="645960"/>
    <s v="BRL"/>
    <s v="DDM - Media - Managed Media (AOR)"/>
    <x v="13"/>
    <d v="2026-10-04T00:00:00"/>
    <s v="MH Lead (DEPRECATED)"/>
    <s v="Votorantim, BR"/>
    <s v="4"/>
    <s v="12"/>
    <s v="Unknown"/>
  </r>
  <r>
    <s v="OPP-10050"/>
    <s v="ACC-1045"/>
    <s v="Jasper Security"/>
    <s v="Felipe Lima"/>
    <s v="Jasper Security - DDM - Media - Managed Media (AOR) - 05/2026"/>
    <s v="Project - Competitive"/>
    <s v="Negotiation"/>
    <n v="6208423.2000000002"/>
    <s v="BRL"/>
    <n v="3334849.56"/>
    <s v="BRL"/>
    <s v="DDM - Media - Managed Media (AOR)"/>
    <x v="9"/>
    <d v="2025-11-26T00:00:00"/>
    <s v="Referral - Internal"/>
    <s v="Votorantim, BR"/>
    <s v="64"/>
    <s v="12"/>
    <s v="Referral"/>
  </r>
  <r>
    <s v="OPP-10082"/>
    <s v="ACC-1108"/>
    <s v="Jojoba Cosmetics"/>
    <s v="Wanda Borges"/>
    <s v="Jojoba Cosmetics - DDM - Media - Managed Media (AOR) - 01/2026"/>
    <s v="Project - Competitive"/>
    <s v="Closed Won"/>
    <n v="60000"/>
    <s v="BRL"/>
    <n v="60000"/>
    <s v="BRL"/>
    <s v="DDM - Media - Managed Media (AOR)"/>
    <x v="56"/>
    <d v="2025-12-23T00:00:00"/>
    <s v="Don't Know/Other (DEPRECATED)"/>
    <s v="São Carlos, BR"/>
    <s v="85"/>
    <s v="12"/>
    <s v="Unknown"/>
  </r>
  <r>
    <s v="OPP-10035"/>
    <s v="ACC-1010"/>
    <s v="Juniper Data"/>
    <s v="Lucas Almeida"/>
    <s v="Juniper Data - DDM - Media - Managed Media (AOR) - 06/2026"/>
    <s v="Project - Competitive"/>
    <s v="Negotiation"/>
    <n v="286464"/>
    <s v="BRL"/>
    <n v="12000"/>
    <s v="BRL"/>
    <s v="DDM - Media - Managed Media (AOR)"/>
    <x v="10"/>
    <d v="2025-03-11T00:00:00"/>
    <s v="Industry Event"/>
    <s v="São Carlos, BR"/>
    <s v="134"/>
    <s v="24"/>
    <s v="Event"/>
  </r>
  <r>
    <s v="OPP-10180"/>
    <s v="ACC-1054"/>
    <s v="Kite Mobile"/>
    <s v="Bruno Costa"/>
    <s v="Kite Mobile - DDM - Media - Managed Media (AOR) - 05/2026"/>
    <s v="Change Order/Upsell"/>
    <s v="Registration"/>
    <n v="145803.84"/>
    <s v="BRL"/>
    <n v="145803.84"/>
    <s v="BRL"/>
    <s v="DDM - Media - Managed Media (AOR)"/>
    <x v="6"/>
    <d v="2026-03-13T00:00:00"/>
    <s v="Inbound - Current Client (DEPRECATED)"/>
    <s v="Votorantim, BR"/>
    <s v="29"/>
    <s v="12"/>
    <s v="Customer Success"/>
  </r>
  <r>
    <s v="OPP-10056"/>
    <s v="ACC-1076"/>
    <s v="Kudzu Retail"/>
    <s v="Karina Oliveira"/>
    <s v="Kudzu Retail - DDM - Media - Managed Media (AOR) - 01/2026"/>
    <s v="Flex/Renewal"/>
    <s v="Closed Won"/>
    <n v="234960"/>
    <s v="BRL"/>
    <n v="234960"/>
    <s v="BRL"/>
    <s v="DDM - Media - Managed Media (AOR)"/>
    <x v="63"/>
    <d v="2025-11-28T00:00:00"/>
    <s v="Inbound - Current Client (DEPRECATED)"/>
    <s v="Votorantim, BR"/>
    <s v="84"/>
    <s v="12"/>
    <s v="Customer Success"/>
  </r>
  <r>
    <s v="OPP-10095"/>
    <s v="ACC-1065"/>
    <s v="Larkspur Foods"/>
    <s v="Joao Pereira"/>
    <s v="Larkspur Foods - DDM - Media - Managed Media (AOR) - 07/2026"/>
    <s v="Project - Competitive"/>
    <s v="Pitching"/>
    <n v="1200000"/>
    <s v="BRL"/>
    <n v="1200000"/>
    <s v="BRL"/>
    <s v="DDM - Media - Managed Media (AOR)"/>
    <x v="64"/>
    <d v="2026-01-15T00:00:00"/>
    <s v="Referral - Personal"/>
    <s v="São Carlos, BR"/>
    <s v="15"/>
    <s v="12"/>
    <s v="Referral"/>
  </r>
  <r>
    <s v="OPP-10109"/>
    <s v="ACC-1080"/>
    <s v="Lavender Publishing"/>
    <s v="Xavier Correia"/>
    <s v="Lavender Publishing - DDM - Media - Managed Media (AOR) - 04/2026"/>
    <s v="Project - Competitive"/>
    <s v="Registration"/>
    <n v="360655.14"/>
    <s v="BRL"/>
    <n v="297600"/>
    <s v="BRL"/>
    <s v="DDM - Media - Managed Media (AOR)"/>
    <x v="7"/>
    <d v="2026-01-23T00:00:00"/>
    <s v="Prospecting - Current Client (DEPRECATED)"/>
    <s v="Votorantim, BR"/>
    <s v="46"/>
    <s v="12"/>
    <s v="Customer Success"/>
  </r>
  <r>
    <s v="OPP-10244"/>
    <s v="ACC-1041"/>
    <s v="Linden Foods"/>
    <s v="Amanda Rios"/>
    <s v="Linden Foods - DDM - Media - Managed Media (AOR) - 07/2026"/>
    <s v="Change Order/Upsell"/>
    <s v="Qualified"/>
    <n v="25000"/>
    <s v="BRL"/>
    <n v="25000"/>
    <s v="BRL"/>
    <s v="DDM - Media - Managed Media (AOR)"/>
    <x v="13"/>
    <d v="2026-10-04T00:00:00"/>
    <s v="Existing Client - Account/Growth Activity"/>
    <s v="São Carlos, BR"/>
    <s v="4"/>
    <s v="12"/>
    <s v="Customer Success"/>
  </r>
  <r>
    <s v="OPP-10249"/>
    <s v="ACC-1093"/>
    <s v="Moringa Health"/>
    <s v="Nicolas Teixeira"/>
    <s v="Moringa Health - DDM - Media - Managed Media (AOR) - 06/2026"/>
    <s v="Project - Competitive"/>
    <s v="Qualified"/>
    <n v="384000"/>
    <s v="BRL"/>
    <n v="384000"/>
    <s v="BRL"/>
    <s v="DDM - Media - Managed Media (AOR)"/>
    <x v="3"/>
    <d v="2026-10-04T00:00:00"/>
    <s v="Marketing - Lead Scoring/Nurturing"/>
    <s v="São Carlos, BR"/>
    <s v="4"/>
    <s v="24"/>
    <s v="Unknown"/>
  </r>
  <r>
    <s v="OPP-10091"/>
    <s v="ACC-1084"/>
    <s v="Nigella Security"/>
    <s v="Bruno Costa"/>
    <s v="Nigella Security - Content - Platform - Performance, SEO, CRM &amp; Loyalty - 05/2026"/>
    <s v="Flex/Renewal"/>
    <s v="Closed Won"/>
    <n v="3156666.46"/>
    <s v="BRL"/>
    <n v="1530024.1"/>
    <s v="BRL"/>
    <s v="DDM - Media - Managed Media (AOR)"/>
    <x v="33"/>
    <d v="2026-12-01T00:00:00"/>
    <s v="Inbound - Current Client (DEPRECATED)"/>
    <s v="São Carlos, BR"/>
    <s v="47"/>
    <s v="12"/>
    <s v="Customer Success"/>
  </r>
  <r>
    <s v="OPP-10220"/>
    <s v="ACC-1084"/>
    <s v="Nigella Security"/>
    <s v="Bruno Costa"/>
    <s v="Nigella Security - DDM - CRM - Other - 02/2026"/>
    <s v="Change Order/Upsell"/>
    <s v="Negotiation"/>
    <n v="264000"/>
    <s v="BRL"/>
    <n v="264000"/>
    <s v="BRL"/>
    <s v="DDM - Media - Managed Media (AOR)"/>
    <x v="6"/>
    <d v="2026-02-04T00:00:00"/>
    <s v="Inbound - Current Client (DEPRECATED)"/>
    <s v="São Carlos, BR"/>
    <s v="12"/>
    <s v="12"/>
    <s v="Customer Success"/>
  </r>
  <r>
    <s v="OPP-10058"/>
    <s v="ACC-1095"/>
    <s v="Nimbus Media"/>
    <s v="Yasmin Nogueira"/>
    <s v="Nimbus Media - DDM - Media - Managed Media (AOR) - 05/2026"/>
    <s v="Project - Competitive"/>
    <s v="Negotiation"/>
    <n v="2627267.83"/>
    <s v="BRL"/>
    <n v="1263216.3600000001"/>
    <s v="BRL"/>
    <s v="DDM - Media - Managed Media (AOR)"/>
    <x v="12"/>
    <d v="2025-01-12T00:00:00"/>
    <s v="Referral - Personal"/>
    <s v="Votorantim, BR"/>
    <s v="54"/>
    <s v="12"/>
    <s v="Referral"/>
  </r>
  <r>
    <s v="OPP-10001"/>
    <s v="ACC-1031"/>
    <s v="Nova Studios"/>
    <s v="Queila Ribeiro"/>
    <s v="Nova Studios - DDM - Media - Managed Media (AOR) - 04/2026"/>
    <s v="Change Order/Upsell"/>
    <s v="Registration"/>
    <n v="3043949.95"/>
    <s v="BRL"/>
    <n v="829077.09"/>
    <s v="BRL"/>
    <s v="DDM - Media - Managed Media (AOR)"/>
    <x v="0"/>
    <d v="2025-05-19T00:00:00"/>
    <s v="Inbound - Current Client (DEPRECATED)"/>
    <s v="São Carlos, BR"/>
    <s v="130"/>
    <s v="12"/>
    <s v="Customer Success"/>
  </r>
  <r>
    <s v="OPP-10064"/>
    <s v="ACC-1031"/>
    <s v="Nova Studios"/>
    <s v="Queila Ribeiro"/>
    <s v="Nova Studios - Content - Platform - Performance, SEO, CRM &amp; Loyalty - 07/2026"/>
    <s v="Flex/Renewal"/>
    <s v="Registration"/>
    <n v="4235159.34"/>
    <s v="BRL"/>
    <n v="3564631.98"/>
    <s v="BRL"/>
    <s v="DDM - Media - Managed Media (AOR)"/>
    <x v="48"/>
    <d v="2025-08-12T00:00:00"/>
    <s v="Inbound - Current Client (DEPRECATED)"/>
    <s v="São Carlos, BR"/>
    <s v="26"/>
    <s v="6"/>
    <s v="Customer Success"/>
  </r>
  <r>
    <s v="OPP-10155"/>
    <s v="ACC-1031"/>
    <s v="Nova Studios"/>
    <s v="Queila Ribeiro"/>
    <s v="Nova Studios - DDM - Media - Creative - 04/2026"/>
    <s v="Change Order/Upsell"/>
    <s v="Negotiation"/>
    <n v="720000"/>
    <s v="BRL"/>
    <n v="720000"/>
    <s v="BRL"/>
    <s v="DDM - Media - Managed Media (AOR)"/>
    <x v="6"/>
    <d v="2026-02-03T00:00:00"/>
    <s v="Inbound - Current Client (DEPRECATED)"/>
    <s v="São Carlos, BR"/>
    <s v="12"/>
    <s v="12"/>
    <s v="Customer Success"/>
  </r>
  <r>
    <s v="OPP-10070"/>
    <s v="ACC-1031"/>
    <s v="Nova Studios"/>
    <s v="Queila Ribeiro"/>
    <s v="Nova Studios - DDM - Media - Creative - 04/2026"/>
    <s v="Change Order/Upsell"/>
    <s v="Registration"/>
    <n v="594455.31000000006"/>
    <s v="BRL"/>
    <n v="387913.59"/>
    <s v="BRL"/>
    <s v="DDM - Media - Managed Media (AOR)"/>
    <x v="0"/>
    <d v="2025-12-15T00:00:00"/>
    <s v="Inbound - Current Client (DEPRECATED)"/>
    <s v="São Carlos, BR"/>
    <s v="26"/>
    <s v="3"/>
    <s v="Customer Success"/>
  </r>
  <r>
    <s v="OPP-10011"/>
    <s v="ACC-1025"/>
    <s v="Nutmeg Gaming"/>
    <s v="Amanda Rios"/>
    <s v="Nutmeg Gaming - DDM - Media - Managed Media (AOR) - 02/2026"/>
    <s v="Change Order/Upsell"/>
    <s v="Closed Won"/>
    <n v="180000"/>
    <s v="BRL"/>
    <n v="72000"/>
    <s v="BRL"/>
    <s v="DDM - Media - Managed Media (AOR)"/>
    <x v="59"/>
    <d v="2025-08-29T00:00:00"/>
    <s v="Inbound - Current Client (DEPRECATED)"/>
    <s v="São Carlos, BR"/>
    <s v="64"/>
    <s v="12"/>
    <s v="Customer Success"/>
  </r>
  <r>
    <s v="OPP-10041"/>
    <s v="ACC-1026"/>
    <s v="Obsidian Bank"/>
    <s v="Amanda Rios"/>
    <s v="Obsidian Bank - DDM - Media - Managed Media (AOR) - 05/2026"/>
    <s v="Change Order/Upsell"/>
    <s v="Pitched"/>
    <n v="242040.36"/>
    <s v="BRL"/>
    <n v="242040.36"/>
    <s v="BRL"/>
    <s v="DDM - Media - Managed Media (AOR)"/>
    <x v="6"/>
    <d v="2025-11-14T00:00:00"/>
    <s v="Inbound - Current Client (DEPRECATED)"/>
    <s v="São Carlos, BR"/>
    <s v="117"/>
    <s v="12"/>
    <s v="Customer Success"/>
  </r>
  <r>
    <s v="OPP-10125"/>
    <s v="ACC-1055"/>
    <s v="Olive Hospitality"/>
    <s v="Xavier Correia"/>
    <s v="Olive Hospitality - DDM - Media - Managed Media (AOR) - 04/2026"/>
    <s v="Project - Not Competitive"/>
    <s v="Negotiation"/>
    <n v="362880"/>
    <s v="BRL"/>
    <n v="314880"/>
    <s v="BRL"/>
    <s v="DDM - Media - Managed Media (AOR)"/>
    <x v="0"/>
    <d v="2026-06-02T00:00:00"/>
    <s v="Referral - Partner - Google Cloud"/>
    <s v="São Carlos, BR"/>
    <s v="36"/>
    <s v="12"/>
    <s v="Referral"/>
  </r>
  <r>
    <s v="OPP-10190"/>
    <s v="ACC-1047"/>
    <s v="Oregano Air"/>
    <s v="Nicolas Teixeira"/>
    <s v="Oregano Air - DDM - Media - Managed Media (AOR) - 05/2026"/>
    <s v="Project - Not Competitive"/>
    <s v="Pitching"/>
    <n v="31256.14"/>
    <s v="BRL"/>
    <n v="10256.14"/>
    <s v="BRL"/>
    <s v="DDM - Media - Managed Media (AOR)"/>
    <x v="1"/>
    <d v="2026-03-20T00:00:00"/>
    <s v="Inbound - Website - Media.Monks (DEPRECATED)"/>
    <s v="São Carlos, BR"/>
    <s v="4"/>
    <s v="12"/>
    <s v="Inbound"/>
  </r>
  <r>
    <s v="OPP-10137"/>
    <s v="ACC-1068"/>
    <s v="Poppy Media"/>
    <s v="Nicolas Teixeira"/>
    <s v="Poppy Media - DDM - Media - Managed Media (AOR) - 05/2026"/>
    <s v="Project - Not Competitive"/>
    <s v="Pitched"/>
    <n v="372818.4"/>
    <s v="BRL"/>
    <n v="372818.4"/>
    <s v="BRL"/>
    <s v="DDM - Media - Managed Media (AOR)"/>
    <x v="1"/>
    <d v="2026-02-13T00:00:00"/>
    <s v="Inbound - Website (DEPRECATED)"/>
    <s v="São Carlos, BR"/>
    <s v="43"/>
    <s v="12"/>
    <s v="Inbound"/>
  </r>
  <r>
    <s v="OPP-10024"/>
    <s v="ACC-1051"/>
    <s v="Pyrite Fintech"/>
    <s v="Karina Oliveira"/>
    <s v="Pyrite Fintech - DDM - Media - Managed Media (AOR) - 04/2026"/>
    <s v="Change Order/Upsell"/>
    <s v="Registration"/>
    <n v="593400"/>
    <s v="BRL"/>
    <n v="248251.44"/>
    <s v="BRL"/>
    <s v="DDM - Media - Managed Media (AOR)"/>
    <x v="0"/>
    <d v="2025-10-10T00:00:00"/>
    <s v="Inbound - Current Client (DEPRECATED)"/>
    <s v="São Carlos, BR"/>
    <s v="127"/>
    <s v="12"/>
    <s v="Customer Success"/>
  </r>
  <r>
    <s v="OPP-10139"/>
    <s v="ACC-1070"/>
    <s v="Quinoa Foods"/>
    <s v="Wanda Borges"/>
    <s v="Quinoa Foods - DDM - CRM - Salesforce Marketing Cloud - 01/2026"/>
    <s v="Project - Competitive"/>
    <s v="Registration"/>
    <n v="1184791"/>
    <s v="BRL"/>
    <n v="777971"/>
    <s v="BRL"/>
    <s v="DDM - Media - Managed Media (AOR)"/>
    <x v="53"/>
    <d v="2026-02-18T00:00:00"/>
    <s v="Referral - S4 Company"/>
    <s v="São Paulo, BR"/>
    <s v="26"/>
    <s v="10"/>
    <s v="Referral"/>
  </r>
  <r>
    <s v="OPP-10031"/>
    <s v="ACC-1070"/>
    <s v="Quinoa Foods"/>
    <s v="Wanda Borges"/>
    <s v="Quinoa Foods - DDM - Media - Managed Media (AOR) - 04/2026"/>
    <s v="Project - Competitive"/>
    <s v="Closed Won"/>
    <n v="1014586.08"/>
    <s v="BRL"/>
    <n v="472133.4"/>
    <s v="BRL"/>
    <s v="DDM - Media - Managed Media (AOR)"/>
    <x v="34"/>
    <d v="2025-10-27T00:00:00"/>
    <s v="Prospecting - Current Client (DEPRECATED)"/>
    <s v="São Paulo, BR"/>
    <s v="98"/>
    <s v="6"/>
    <s v="Customer Success"/>
  </r>
  <r>
    <s v="OPP-10039"/>
    <s v="ACC-1057"/>
    <s v="Raven Sports"/>
    <s v="Carla Mendes"/>
    <s v="Raven Sports - DDM - Media - Managed Media (AOR) - 03/2026"/>
    <s v="Change Order/Upsell"/>
    <s v="Closed Won"/>
    <n v="88063.48"/>
    <s v="BRL"/>
    <n v="88063.48"/>
    <s v="BRL"/>
    <s v="DDM - Media - Managed Media (AOR)"/>
    <x v="25"/>
    <d v="2025-11-13T00:00:00"/>
    <s v="Don't Know/Other (DEPRECATED)"/>
    <s v="Votorantim, BR"/>
    <n v="33"/>
    <s v="4"/>
    <s v="Unknown"/>
  </r>
  <r>
    <s v="OPP-10078"/>
    <s v="ACC-1057"/>
    <s v="Raven Sports"/>
    <s v="Carla Mendes"/>
    <s v="Raven Sports - DDM - Media - Managed Media (AOR) - 03/2026"/>
    <s v="Change Order/Upsell"/>
    <s v="Closed Won"/>
    <n v="44031.74"/>
    <s v="BRL"/>
    <n v="44031.74"/>
    <s v="BRL"/>
    <s v="DDM - Media - Managed Media (AOR)"/>
    <x v="65"/>
    <d v="2025-12-19T00:00:00"/>
    <s v="Inbound - Current Client (DEPRECATED)"/>
    <s v="Votorantim, BR"/>
    <s v="71"/>
    <s v="1"/>
    <s v="Customer Success"/>
  </r>
  <r>
    <s v="OPP-10022"/>
    <s v="ACC-1057"/>
    <s v="Raven Sports"/>
    <s v="Carla Mendes"/>
    <s v="Raven Sports - DDM - Media - Managed Media (AOR) - 01/2026"/>
    <s v="Flex/Renewal"/>
    <s v="Closed Won"/>
    <n v="286200"/>
    <s v="BRL"/>
    <n v="286200"/>
    <s v="BRL"/>
    <s v="DDM - Media - Managed Media (AOR)"/>
    <x v="25"/>
    <d v="2025-09-10T00:00:00"/>
    <s v="Inbound - Current Client (DEPRECATED)"/>
    <s v="Votorantim, BR"/>
    <s v="33"/>
    <s v="4"/>
    <s v="Customer Success"/>
  </r>
  <r>
    <s v="OPP-10077"/>
    <s v="ACC-1057"/>
    <s v="Raven Sports"/>
    <s v="Carla Mendes"/>
    <s v="Raven Sports - DDM - Media - Managed Media (AOR) - 02/2026"/>
    <s v="Flex/Renewal"/>
    <s v="Closed Won"/>
    <n v="143100"/>
    <s v="BRL"/>
    <n v="143100"/>
    <s v="BRL"/>
    <s v="DDM - Media - Managed Media (AOR)"/>
    <x v="43"/>
    <d v="2025-12-19T00:00:00"/>
    <s v="Inbound - Current Client (DEPRECATED)"/>
    <s v="Votorantim, BR"/>
    <s v="71"/>
    <s v="1"/>
    <s v="Customer Success"/>
  </r>
  <r>
    <s v="OPP-10025"/>
    <s v="ACC-1027"/>
    <s v="Rosemary Auto"/>
    <s v="Daniel Moura"/>
    <s v="Rosemary Auto - DDM - Media - Managed Media (AOR) - 01/2026"/>
    <s v="Flex/Renewal"/>
    <s v="Closed Won"/>
    <n v="733504.44"/>
    <s v="BRL"/>
    <n v="733504.44"/>
    <s v="BRL"/>
    <s v="DDM - Media - Managed Media (AOR)"/>
    <x v="29"/>
    <d v="2025-10-16T00:00:00"/>
    <s v="Inbound - Current Client (DEPRECATED)"/>
    <s v="São Carlos, BR"/>
    <s v="92"/>
    <s v="12"/>
    <s v="Customer Success"/>
  </r>
  <r>
    <s v="OPP-10164"/>
    <s v="ACC-1036"/>
    <s v="Rowan Energy"/>
    <s v="Pedro Martins"/>
    <s v="Rowan Energy - DDM - Media - Creative - 03/2026"/>
    <s v="Change Order/Upsell"/>
    <s v="Closed Won"/>
    <n v="274209.96999999997"/>
    <s v="BRL"/>
    <n v="184049.73"/>
    <s v="BRL"/>
    <s v="DDM - Media - Managed Media (AOR)"/>
    <x v="8"/>
    <d v="2026-05-03T00:00:00"/>
    <s v="Inbound - Current Client (DEPRECATED)"/>
    <s v="Votorantim, BR"/>
    <s v="40"/>
    <s v="1"/>
    <s v="Customer Success"/>
  </r>
  <r>
    <s v="OPP-10163"/>
    <s v="ACC-1036"/>
    <s v="Rowan Energy"/>
    <s v="Pedro Martins"/>
    <s v="Rowan Energy - DDM - Media - Managed Media (AOR) - 03/2026"/>
    <s v="Flex/Renewal"/>
    <s v="Closed Won"/>
    <n v="440332.96"/>
    <s v="BRL"/>
    <n v="440332.96"/>
    <s v="BRL"/>
    <s v="DDM - Media - Managed Media (AOR)"/>
    <x v="8"/>
    <d v="2026-05-03T00:00:00"/>
    <s v="Inbound - Current Client (DEPRECATED)"/>
    <s v="Votorantim, BR"/>
    <s v="40"/>
    <s v="12"/>
    <s v="Customer Success"/>
  </r>
  <r>
    <s v="OPP-10044"/>
    <s v="ACC-1063"/>
    <s v="Saffron Fashion"/>
    <s v="Ana Silva"/>
    <s v="Saffron Fashion - Content - Platform - Performance, SEO, CRM &amp; Loyalty - 01/2026"/>
    <s v="Change Order/Upsell"/>
    <s v="Closed Won"/>
    <n v="2518147.83"/>
    <s v="BRL"/>
    <n v="1321676.1499999999"/>
    <s v="BRL"/>
    <s v="DDM - Media - Managed Media (AOR)"/>
    <x v="29"/>
    <d v="2025-11-14T00:00:00"/>
    <s v="Inbound - Current Client (DEPRECATED)"/>
    <s v="São Carlos, BR"/>
    <s v="92"/>
    <s v="12"/>
    <s v="Customer Success"/>
  </r>
  <r>
    <s v="OPP-10072"/>
    <s v="ACC-1063"/>
    <s v="Saffron Fashion"/>
    <s v="Ana Silva"/>
    <s v="Saffron Fashion - DDM - Data - Services &amp; Tech - Services (Analytics &amp; Support) - 01/2026"/>
    <s v="Flex/Renewal"/>
    <s v="Closed Won"/>
    <n v="6770269.9100000001"/>
    <s v="BRL"/>
    <n v="3986192.66"/>
    <s v="BRL"/>
    <s v="DDM - Media - Managed Media (AOR)"/>
    <x v="18"/>
    <d v="2025-12-15T00:00:00"/>
    <s v="Inbound - Current Client (DEPRECATED)"/>
    <s v="São Carlos, BR"/>
    <s v="77"/>
    <s v="12"/>
    <s v="Customer Success"/>
  </r>
  <r>
    <s v="OPP-10072"/>
    <s v="ACC-1063"/>
    <s v="Saffron Fashion"/>
    <s v="Ana Silva"/>
    <s v="Saffron Fashion - Content - Platform - Performance, SEO, CRM &amp; Loyalty - 01/2026"/>
    <s v="Flex/Renewal"/>
    <s v="Closed Won"/>
    <n v="6770269.9100000001"/>
    <s v="BRL"/>
    <n v="272925.34999999998"/>
    <s v="BRL"/>
    <s v="DDM - Media - Managed Media (AOR)"/>
    <x v="18"/>
    <d v="2025-12-15T00:00:00"/>
    <s v="Inbound - Current Client (DEPRECATED)"/>
    <s v="São Carlos, BR"/>
    <s v="77"/>
    <s v="12"/>
    <s v="Customer Success"/>
  </r>
  <r>
    <s v="OPP-10032"/>
    <s v="ACC-1063"/>
    <s v="Saffron Fashion"/>
    <s v="Ana Silva"/>
    <s v="Saffron Fashion - DDM - Data - Services &amp; Tech - Services (Analytics &amp; Support) - 01/2026"/>
    <s v="Change Order/Upsell"/>
    <s v="Closed Won"/>
    <n v="722935.92"/>
    <s v="BRL"/>
    <n v="607803.12"/>
    <s v="BRL"/>
    <s v="DDM - Media - Managed Media (AOR)"/>
    <x v="17"/>
    <d v="2025-10-29T00:00:00"/>
    <s v="Inbound - Current Client (DEPRECATED)"/>
    <s v="São Carlos, BR"/>
    <s v="99"/>
    <s v="12"/>
    <s v="Customer Success"/>
  </r>
  <r>
    <s v="OPP-10226"/>
    <s v="ACC-1063"/>
    <s v="Saffron Fashion"/>
    <s v="Ana Silva"/>
    <s v="Saffron Fashion - Content - Platform - Performance, SEO, CRM &amp; Loyalty - 05/2026"/>
    <s v="Change Order/Upsell"/>
    <s v="Pitching"/>
    <n v="706759.68000000005"/>
    <s v="BRL"/>
    <n v="706759.68000000005"/>
    <s v="BRL"/>
    <s v="DDM - Media - Managed Media (AOR)"/>
    <x v="3"/>
    <d v="2026-06-04T00:00:00"/>
    <s v="Existing Client - Account/Growth Activity"/>
    <s v="São Carlos, BR"/>
    <s v="8"/>
    <s v="12"/>
    <s v="Customer Success"/>
  </r>
  <r>
    <s v="OPP-10102"/>
    <s v="ACC-1063"/>
    <s v="Saffron Fashion"/>
    <s v="Ana Silva"/>
    <s v="Saffron Fashion - DDM - Media - Managed Media (AOR) - 06/2026"/>
    <s v="Flex/Renewal"/>
    <s v="Closed Won"/>
    <n v="299999.59999999998"/>
    <s v="BRL"/>
    <n v="299999.59999999998"/>
    <s v="BRL"/>
    <s v="DDM - Media - Managed Media (AOR)"/>
    <x v="44"/>
    <d v="2026-01-22T00:00:00"/>
    <s v="Inbound - Current Client (DEPRECATED)"/>
    <s v="São Carlos, BR"/>
    <s v="22"/>
    <s v="12"/>
    <s v="Customer Success"/>
  </r>
  <r>
    <s v="OPP-10225"/>
    <s v="ACC-1089"/>
    <s v="Sage Streaming"/>
    <s v="Karina Oliveira"/>
    <s v="Sage Streaming -  - 05/2026"/>
    <s v="Change Order/Upsell"/>
    <s v="Pitching"/>
    <n v="173729.16"/>
    <s v="BRL"/>
    <n v="173729.16"/>
    <s v="BRL"/>
    <s v="DDM - Media - Managed Media (AOR)"/>
    <x v="1"/>
    <d v="2026-02-04T00:00:00"/>
    <s v="MH Lead (DEPRECATED)"/>
    <s v="Votorantim, BR"/>
    <s v="4"/>
    <s v="12"/>
    <s v="Unknown"/>
  </r>
  <r>
    <s v="OPP-10023"/>
    <s v="ACC-1038"/>
    <s v="Sumac Telecom"/>
    <s v="Pedro Martins"/>
    <s v="Sumac Telecom - DDM - Media - Managed Media (AOR) - 03/2026"/>
    <s v="Flex/Renewal"/>
    <s v="Closed Won"/>
    <n v="1758176.04"/>
    <s v="BRL"/>
    <n v="1310372.04"/>
    <s v="BRL"/>
    <s v="DDM - Media - Managed Media (AOR)"/>
    <x v="14"/>
    <d v="2025-09-10T00:00:00"/>
    <s v="Inbound - Current Client (DEPRECATED)"/>
    <s v="Votorantim, BR"/>
    <s v="36"/>
    <s v="12"/>
    <s v="Customer Success"/>
  </r>
  <r>
    <s v="OPP-10101"/>
    <s v="ACC-1038"/>
    <s v="Sumac Telecom"/>
    <s v="Pedro Martins"/>
    <s v="Sumac Telecom - DDM - Media - Managed Media (AOR) - 03/2026"/>
    <s v="Change Order/Upsell"/>
    <s v="Closed Won"/>
    <n v="157479.96"/>
    <s v="BRL"/>
    <n v="157479.96"/>
    <s v="BRL"/>
    <s v="DDM - Media - Managed Media (AOR)"/>
    <x v="14"/>
    <d v="2026-01-21T00:00:00"/>
    <s v="Inbound - Current Client (DEPRECATED)"/>
    <s v="Votorantim, BR"/>
    <s v="36"/>
    <s v="12"/>
    <s v="Customer Success"/>
  </r>
  <r>
    <s v="OPP-10192"/>
    <s v="ACC-1034"/>
    <s v="Ume Insurance"/>
    <s v="Xavier Correia"/>
    <s v="Ume Insurance - DDM - Media - Managed Media (AOR) - 05/2026"/>
    <s v="Project - Competitive"/>
    <s v="Pitching"/>
    <n v="1528601.1600000001"/>
    <s v="BRL"/>
    <n v="960665.16"/>
    <s v="BRL"/>
    <s v="DDM - Media - Managed Media (AOR)"/>
    <x v="6"/>
    <d v="2026-03-20T00:00:00"/>
    <s v="Inbound - Website - Media.Monks (DEPRECATED)"/>
    <s v="São Carlos, BR"/>
    <s v="4"/>
    <s v="12"/>
    <s v="Inbound"/>
  </r>
  <r>
    <s v="OPP-10135"/>
    <s v="ACC-1030"/>
    <s v="Vertex Apparel"/>
    <s v="Carla Mendes"/>
    <s v="Vertex Apparel - DDM - Media - Managed Media (AOR) - 04/2026"/>
    <s v="Passthrough"/>
    <s v="Registration"/>
    <n v="72720"/>
    <s v="BRL"/>
    <n v="72720"/>
    <s v="BRL"/>
    <s v="DDM - Media - Managed Media (AOR)"/>
    <x v="66"/>
    <d v="2026-02-13T00:00:00"/>
    <s v="Inbound - Website (DEPRECATED)"/>
    <s v="São Carlos, BR"/>
    <s v="47"/>
    <s v="12"/>
    <s v="Inbound"/>
  </r>
  <r>
    <s v="OPP-10136"/>
    <s v="ACC-1030"/>
    <s v="Vertex Apparel"/>
    <s v="Carla Mendes"/>
    <s v="Vertex Apparel - DDM - Media - Managed Media (AOR) - 04/2026"/>
    <s v="Change Order/Upsell"/>
    <s v="Registration"/>
    <n v="208391.64"/>
    <s v="BRL"/>
    <n v="208391.64"/>
    <s v="BRL"/>
    <s v="DDM - Media - Managed Media (AOR)"/>
    <x v="0"/>
    <d v="2026-02-13T00:00:00"/>
    <s v="Inbound - Current Client (DEPRECATED)"/>
    <s v="São Carlos, BR"/>
    <s v="47"/>
    <s v="12"/>
    <s v="Customer Success"/>
  </r>
  <r>
    <s v="OPP-10159"/>
    <s v="ACC-1111"/>
    <s v="Walnut Manufacturing"/>
    <s v="Wanda Borges"/>
    <s v="Walnut Manufacturing - DDM - Media - Managed Media (AOR) - 05/2026"/>
    <s v="Project - Competitive"/>
    <s v="Pitched"/>
    <n v="2133050.04"/>
    <s v="BRL"/>
    <n v="321776.88"/>
    <s v="BRL"/>
    <s v="DDM - Media - Managed Media (AOR)"/>
    <x v="1"/>
    <d v="2026-03-03T00:00:00"/>
    <s v="Inbound - Website - Media.Monks (DEPRECATED)"/>
    <s v="Votorantim, BR"/>
    <s v="15"/>
    <s v="12"/>
    <s v="Inbound"/>
  </r>
  <r>
    <s v="OPP-10214"/>
    <s v="ACC-1103"/>
    <s v="Wormwood Bank"/>
    <s v="Joao Pereira"/>
    <s v="Wormwood Bank - DDM - Media - Managed Media (AOR) - 04/2026"/>
    <s v="Project - Competitive"/>
    <s v="Registration"/>
    <n v="259731.72"/>
    <s v="BRL"/>
    <n v="259731.72"/>
    <s v="BRL"/>
    <s v="DDM - Media - Managed Media (AOR)"/>
    <x v="0"/>
    <d v="2026-03-31T00:00:00"/>
    <s v="Referral - Internal"/>
    <s v="Votorantim, BR"/>
    <s v="3"/>
    <s v="12"/>
    <s v="Referral"/>
  </r>
  <r>
    <s v="OPP-10207"/>
    <s v="ACC-1043"/>
    <s v="Xanadu Media"/>
    <s v="Bernardo Castro"/>
    <s v="Xanadu Media - Content - Platform - Website Creation &amp; Production - 06/2026"/>
    <s v="Change Order/Upsell"/>
    <s v="Pitched"/>
    <n v="838800"/>
    <s v="BRL"/>
    <n v="198000"/>
    <s v="BRL"/>
    <s v="DDM - Media - Managed Media (AOR)"/>
    <x v="3"/>
    <d v="2026-03-30T00:00:00"/>
    <s v="Prospecting - Current Client (DEPRECATED)"/>
    <s v="Votorantim, BR"/>
    <s v="5"/>
    <s v="12"/>
    <s v="Customer Success"/>
  </r>
  <r>
    <s v="OPP-10241"/>
    <s v="ACC-1081"/>
    <s v="Yarrow Health"/>
    <s v="Amanda Rios"/>
    <s v="Yarrow Health - DDM - Media - Managed Media (AOR) - 06/2026"/>
    <s v="Flex/Renewal"/>
    <s v="Pitching"/>
    <n v="695284.8"/>
    <s v="BRL"/>
    <n v="354008.4"/>
    <s v="BRL"/>
    <s v="DDM - Media - Managed Media (AOR)"/>
    <x v="3"/>
    <d v="2026-10-04T00:00:00"/>
    <s v="Existing Client - Account/Growth Activity"/>
    <s v="São Carlos, BR"/>
    <s v="4"/>
    <s v="12"/>
    <s v="Customer Success"/>
  </r>
  <r>
    <s v="OPP-10051"/>
    <s v="ACC-1044"/>
    <s v="Yerba Studios"/>
    <s v="Carla Mendes"/>
    <s v="Yerba Studios - DDM - Media - Managed Media (AOR) - 01/2026"/>
    <s v="Flex/Renewal"/>
    <s v="Closed Won"/>
    <n v="760000"/>
    <s v="BRL"/>
    <n v="400000"/>
    <s v="BRL"/>
    <s v="DDM - Media - Managed Media (AOR)"/>
    <x v="18"/>
    <d v="2025-11-26T00:00:00"/>
    <s v="Inbound - Current Client (DEPRECATED)"/>
    <s v="São Carlos, BR"/>
    <s v="77"/>
    <s v="12"/>
    <s v="Customer Success"/>
  </r>
  <r>
    <s v="OPP-10048"/>
    <s v="ACC-1106"/>
    <s v="Yucca Farms"/>
    <s v="Joao Pereira"/>
    <s v="Yucca Farms - DDM - Media - Managed Media (AOR) - 03/2026"/>
    <s v="Project - Competitive"/>
    <s v="Closed Won"/>
    <n v="195525"/>
    <s v="BRL"/>
    <n v="57430.080000000002"/>
    <s v="BRL"/>
    <s v="DDM - Media - Managed Media (AOR)"/>
    <x v="11"/>
    <d v="2025-11-26T00:00:00"/>
    <s v="Referral - Personal"/>
    <s v="Votorantim, BR"/>
    <s v="14"/>
    <s v="3"/>
    <s v="Referral"/>
  </r>
  <r>
    <s v="OPP-10172"/>
    <s v="ACC-1085"/>
    <s v="Yumberry Mobile"/>
    <s v="Felipe Lima"/>
    <s v="Yumberry Mobile - DDM - Media - Managed Media (AOR) - 05/2026"/>
    <s v="Project - Competitive"/>
    <s v="Negotiation"/>
    <n v="835250.32000000007"/>
    <s v="BRL"/>
    <n v="365077.92"/>
    <s v="BRL"/>
    <s v="DDM - Media - Managed Media (AOR)"/>
    <x v="9"/>
    <d v="2026-11-03T00:00:00"/>
    <s v="Referral - Internal"/>
    <s v="São Carlos, BR"/>
    <s v="25"/>
    <s v="12"/>
    <s v="Referral"/>
  </r>
  <r>
    <s v="OPP-10009"/>
    <s v="ACC-1029"/>
    <s v="Zephyr Telecom"/>
    <s v="Ana Silva"/>
    <s v="Zephyr Telecom - DDM - Data - Services &amp; Tech - Services (Analytics &amp; Support) - 01/2026"/>
    <s v="Flex/Renewal"/>
    <s v="Closed Won"/>
    <n v="8047338.7199999997"/>
    <s v="BRL"/>
    <n v="8047338.7199999997"/>
    <s v="BRL"/>
    <s v="DDM - Media - Managed Media (AOR)"/>
    <x v="4"/>
    <d v="2025-08-22T00:00:00"/>
    <s v="Inbound - Current Client (DEPRECATED)"/>
    <s v="São Carlos, BR"/>
    <s v="46"/>
    <s v="12"/>
    <s v="Customer Success"/>
  </r>
  <r>
    <s v="OPP-10033"/>
    <s v="ACC-1029"/>
    <s v="Zephyr Telecom"/>
    <s v="Ana Silva"/>
    <s v="Zephyr Telecom - DDM - Media - Managed Media (AOR) - 02/2026"/>
    <s v="Change Order/Upsell"/>
    <s v="Closed Won"/>
    <n v="3208257.54"/>
    <s v="BRL"/>
    <n v="3208257.54"/>
    <s v="BRL"/>
    <s v="DDM - Media - Managed Media (AOR)"/>
    <x v="4"/>
    <d v="2025-10-30T00:00:00"/>
    <s v="Inbound - Current Client (DEPRECATED)"/>
    <s v="São Carlos, BR"/>
    <s v="46"/>
    <s v="12"/>
    <s v="Customer Success"/>
  </r>
  <r>
    <s v="OPP-10043"/>
    <s v="ACC-1029"/>
    <s v="Zephyr Telecom"/>
    <s v="Ana Silva"/>
    <s v="Zephyr Telecom - DDM - Media - Managed Media (AOR) - 02/2026"/>
    <s v="Flex/Renewal"/>
    <s v="Closed Won"/>
    <n v="4260383.32"/>
    <s v="BRL"/>
    <n v="2863609.66"/>
    <s v="BRL"/>
    <s v="DDM - Media - Managed Media (AOR)"/>
    <x v="14"/>
    <d v="2025-11-14T00:00:00"/>
    <s v="Inbound - Current Client (DEPRECATED)"/>
    <s v="São Carlos, BR"/>
    <s v="36"/>
    <s v="12"/>
    <s v="Customer Success"/>
  </r>
  <r>
    <s v="OPP-10045"/>
    <s v="ACC-1029"/>
    <s v="Zephyr Telecom"/>
    <s v="Ana Silva"/>
    <s v="Zephyr Telecom - Content - Platform - Performance, SEO, CRM &amp; Loyalty - 03/2026"/>
    <s v="Flex/Renewal"/>
    <s v="Closed Won"/>
    <n v="3785206.2099999995"/>
    <s v="BRL"/>
    <n v="2191904.46"/>
    <s v="BRL"/>
    <s v="DDM - Media - Managed Media (AOR)"/>
    <x v="20"/>
    <d v="2025-11-14T00:00:00"/>
    <s v="Inbound - Current Client (DEPRECATED)"/>
    <s v="São Carlos, BR"/>
    <s v="60"/>
    <s v="12"/>
    <s v="Customer Success"/>
  </r>
  <r>
    <s v="OPP-10059"/>
    <s v="ACC-1029"/>
    <s v="Zephyr Telecom"/>
    <s v="Ana Silva"/>
    <s v="Zephyr Telecom - DDM - Media - Managed Media (AOR) - 03/2026"/>
    <s v="Flex/Renewal"/>
    <s v="Closed Won"/>
    <n v="490082.16"/>
    <s v="BRL"/>
    <n v="346082.16"/>
    <s v="BRL"/>
    <s v="DDM - Media - Managed Media (AOR)"/>
    <x v="51"/>
    <d v="2025-02-12T00:00:00"/>
    <s v="Inbound - Current Client (DEPRECATED)"/>
    <s v="São Carlos, BR"/>
    <s v="34"/>
    <s v="12"/>
    <s v="Customer Success"/>
  </r>
  <r>
    <s v="OPP-10092"/>
    <s v="ACC-1029"/>
    <s v="Zephyr Telecom"/>
    <s v="Ana Silva"/>
    <s v="Zephyr Telecom - DDM - Data - Services &amp; Tech - Services (Analytics &amp; Support) - 04/2026"/>
    <s v="Change Order/Upsell"/>
    <s v="Closed Won"/>
    <n v="492000"/>
    <s v="BRL"/>
    <n v="492000"/>
    <s v="BRL"/>
    <s v="DDM - Media - Managed Media (AOR)"/>
    <x v="51"/>
    <d v="2026-01-13T00:00:00"/>
    <s v="Inbound - Current Client (DEPRECATED)"/>
    <s v="São Carlos, BR"/>
    <s v="34"/>
    <s v="12"/>
    <s v="Customer Success"/>
  </r>
  <r>
    <s v="OPP-10104"/>
    <s v="ACC-1029"/>
    <s v="Zephyr Telecom"/>
    <s v="Ana Silva"/>
    <s v="Zephyr Telecom - Content - Platform - Performance, SEO, CRM &amp; Loyalty - 03/2026"/>
    <s v="Change Order/Upsell"/>
    <s v="Closed Won"/>
    <n v="144000"/>
    <s v="BRL"/>
    <n v="144000"/>
    <s v="BRL"/>
    <s v="DDM - Media - Managed Media (AOR)"/>
    <x v="20"/>
    <d v="2026-01-22T00:00:00"/>
    <s v="Inbound - Current Client (DEPRECATED)"/>
    <s v="São Carlos, BR"/>
    <s v="60"/>
    <s v="12"/>
    <s v="Customer Success"/>
  </r>
  <r>
    <s v="OPP-10256"/>
    <s v="ACC-1029"/>
    <s v="Zephyr Telecom"/>
    <s v="Ana Silva"/>
    <s v="Zephyr Telecom - DDM - Media - Managed Media (AOR) - 02/2026"/>
    <s v="Change Order/Upsell"/>
    <s v="Registration"/>
    <n v="111296.52"/>
    <s v="BRL"/>
    <n v="111296.52"/>
    <s v="BRL"/>
    <s v="DDM - Media - Managed Media (AOR)"/>
    <x v="9"/>
    <d v="2026-04-13T00:00:00"/>
    <s v="Existing Client - Account/Growth Activity"/>
    <s v="São Carlos, BR"/>
    <s v="1"/>
    <s v="12"/>
    <s v="Customer Success"/>
  </r>
  <r>
    <s v="OPP-10179"/>
    <s v="ACC-1029"/>
    <s v="Zephyr Telecom"/>
    <s v="Ana Silva"/>
    <s v="Zephyr Telecom - DDM - Media - Managed Media (AOR) - 03/2026"/>
    <s v="Flex/Renewal"/>
    <s v="Registration"/>
    <n v="709465.68"/>
    <s v="BRL"/>
    <n v="565465.68000000005"/>
    <s v="BRL"/>
    <s v="DDM - Media - Managed Media (AOR)"/>
    <x v="0"/>
    <d v="2026-12-03T00:00:00"/>
    <s v="Inbound - Current Client (DEPRECATED)"/>
    <s v="São Carlos, BR"/>
    <s v="28"/>
    <s v="12"/>
    <s v="Customer Success"/>
  </r>
  <r>
    <s v="OPP-10127"/>
    <s v="ACC-1029"/>
    <s v="Zephyr Telecom"/>
    <s v="Ana Silva"/>
    <s v="Zephyr Telecom - DDM - Media - Managed Media (AOR) - 04/2026"/>
    <s v="Change Order/Upsell"/>
    <s v="Closed Won"/>
    <n v="24501.84"/>
    <s v="BRL"/>
    <n v="24501.84"/>
    <s v="BRL"/>
    <s v="DDM - Media - Managed Media (AOR)"/>
    <x v="51"/>
    <d v="2026-10-02T00:00:00"/>
    <s v="Inbound - Current Client (DEPRECATED)"/>
    <s v="São Carlos, BR"/>
    <s v="34"/>
    <s v="12"/>
    <s v="Customer Success"/>
  </r>
  <r>
    <s v="OPP-10088"/>
    <s v="ACC-1029"/>
    <s v="Zephyr Telecom"/>
    <s v="Ana Silva"/>
    <s v="Zephyr Telecom -  - 06/2026"/>
    <s v="Change Order/Upsell"/>
    <s v="Closed Won"/>
    <n v="5000"/>
    <s v="BRL"/>
    <n v="5000"/>
    <s v="BRL"/>
    <s v="DDM - Media - Managed Media (AOR)"/>
    <x v="29"/>
    <d v="2026-09-01T00:00:00"/>
    <s v="Inbound - Current Client (DEPRECATED)"/>
    <s v="São Paulo, BR"/>
    <s v="92"/>
    <s v="1"/>
    <s v="Customer Success"/>
  </r>
  <r>
    <s v="OPP-10116"/>
    <s v="ACC-1029"/>
    <s v="Zephyr Telecom"/>
    <s v="Ana Silva"/>
    <s v="Zephyr Telecom -  - 06/2026"/>
    <s v="Change Order/Upsell"/>
    <s v="Closed Won"/>
    <n v="5000"/>
    <s v="BRL"/>
    <n v="5000"/>
    <s v="BRL"/>
    <s v="DDM - Media - Managed Media (AOR)"/>
    <x v="67"/>
    <d v="2026-02-02T00:00:00"/>
    <s v="Inbound - Current Client (DEPRECATED)"/>
    <s v="São Carlos, BR"/>
    <s v="54"/>
    <s v="1"/>
    <s v="Customer Success"/>
  </r>
  <r>
    <s v="OPP-10235"/>
    <s v="ACC-1029"/>
    <s v="Zephyr Telecom"/>
    <s v="Ana Silva"/>
    <s v="Zephyr Telecom - DDM - Media - Managed Media (AOR) - 05/2026"/>
    <s v="Change Order/Upsell"/>
    <s v="Qualified"/>
    <n v="0"/>
    <s v="BRL"/>
    <n v="0"/>
    <s v="BRL"/>
    <s v="DDM - Media - Managed Media (AOR)"/>
    <x v="3"/>
    <d v="2026-09-04T00:00:00"/>
    <s v="MH Lead (DEPRECATED)"/>
    <s v="São Carlos, BR"/>
    <s v="5"/>
    <s v="12"/>
    <s v="Unknown"/>
  </r>
  <r>
    <s v="OPP-10008"/>
    <s v="ACC-1015"/>
    <s v="Zinnia Apparel"/>
    <s v="Ana Silva"/>
    <s v="Zinnia Apparel - DDM - Media - Managed Media (AOR) - 03/2026"/>
    <s v="Flex/Renewal"/>
    <s v="Closed Won"/>
    <n v="2706200.27"/>
    <s v="BRL"/>
    <n v="145409.64000000001"/>
    <s v="BRL"/>
    <s v="DDM - Media - Managed Media (AOR)"/>
    <x v="11"/>
    <d v="2025-08-22T00:00:00"/>
    <s v="Inbound - Current Client (DEPRECATED)"/>
    <s v="São Carlos, BR"/>
    <s v="14"/>
    <s v="12"/>
    <s v="Customer Success"/>
  </r>
  <r>
    <s v="OPP-10008"/>
    <s v="ACC-1015"/>
    <s v="Zinnia Apparel"/>
    <s v="Ana Silva"/>
    <s v="Zinnia Apparel - DDM - Media - Managed Media (AOR) - 03/2026"/>
    <s v="Flex/Renewal"/>
    <s v="Closed Won"/>
    <n v="2706200.27"/>
    <s v="BRL"/>
    <n v="1917154.65"/>
    <s v="BRL"/>
    <s v="DDM - Media - Managed Media (AOR)"/>
    <x v="11"/>
    <d v="2025-08-22T00:00:00"/>
    <s v="Inbound - Current Client (DEPRECATED)"/>
    <s v="São Carlos, BR"/>
    <s v="14"/>
    <s v="12"/>
    <s v="Customer Success"/>
  </r>
  <r>
    <s v="OPP-10237"/>
    <s v="ACC-1015"/>
    <s v="Zinnia Apparel"/>
    <s v="Ana Silva"/>
    <s v="Zinnia Apparel - DDM - Media - Managed Media (AOR) - 03/2026"/>
    <s v="Change Order/Upsell"/>
    <s v="Negotiation"/>
    <n v="260250.72"/>
    <s v="BRL"/>
    <n v="260250.72"/>
    <s v="BRL"/>
    <s v="DDM - Media - Managed Media (AOR)"/>
    <x v="3"/>
    <d v="2026-09-04T00:00:00"/>
    <s v="Existing Client - Account/Growth Activity"/>
    <s v="São Carlos, BR"/>
    <s v="5"/>
    <s v="12"/>
    <s v="Customer Success"/>
  </r>
  <r>
    <s v="OPP-10103"/>
    <s v="ACC-1015"/>
    <s v="Zinnia Apparel"/>
    <s v="Bruno Costa"/>
    <s v="Zinnia Apparel - DDM - Media - Managed Media (AOR) - 03/2026"/>
    <s v="Change Order/Upsell"/>
    <s v="Closed Won"/>
    <n v="65038.05"/>
    <s v="BRL"/>
    <n v="65038.05"/>
    <s v="BRL"/>
    <s v="DDM - Media - Managed Media (AOR)"/>
    <x v="11"/>
    <d v="2026-01-22T00:00:00"/>
    <s v="Inbound - Current Client (DEPRECATED)"/>
    <s v="São Carlos, BR"/>
    <s v="14"/>
    <s v="3"/>
    <s v="Customer Success"/>
  </r>
  <r>
    <s v="OPP-10196"/>
    <s v="ACC-1015"/>
    <s v="Zinnia Apparel"/>
    <s v="Ana Silva"/>
    <s v="Zinnia Apparel - DDM - Media - Managed Media (AOR) - 04/2026"/>
    <s v="Change Order/Upsell"/>
    <s v="Closed Won"/>
    <n v="44271"/>
    <s v="BRL"/>
    <n v="44271"/>
    <s v="BRL"/>
    <s v="DDM - Media - Managed Media (AOR)"/>
    <x v="11"/>
    <d v="2026-03-25T00:00:00"/>
    <s v="Inbound - Current Client (DEPRECATED)"/>
    <s v="São Carlos, BR"/>
    <s v="14"/>
    <s v="3"/>
    <s v="Customer Success"/>
  </r>
  <r>
    <s v="OPP-10216"/>
    <s v="ACC-1015"/>
    <s v="Zinnia Apparel"/>
    <s v="Bruno Costa"/>
    <s v="Zinnia Apparel - DDM - Media - Managed Media (AOR) - 06/2026"/>
    <s v="Flex/Renewal"/>
    <s v="Negotiation"/>
    <n v="8049213.7800000003"/>
    <s v="BRL"/>
    <n v="8049213.7800000003"/>
    <s v="BRL"/>
    <s v="DDM - Media - Managed Media (AOR)"/>
    <x v="0"/>
    <d v="2026-03-31T00:00:00"/>
    <s v="Inbound - Current Client (DEPRECATED)"/>
    <s v="São Carlos, BR"/>
    <s v="5"/>
    <s v="12"/>
    <s v="Customer Success"/>
  </r>
  <r>
    <s v="OPP-10097"/>
    <s v="ACC-1014"/>
    <s v="Fern Agriculture"/>
    <s v="Lucas Almeida"/>
    <s v="Fern Agriculture - Media - GEO/AEO - 04/2026"/>
    <s v="Project - Not Competitive"/>
    <s v="Registration"/>
    <n v="1410000"/>
    <s v="BRL"/>
    <n v="241200"/>
    <s v="BRL"/>
    <s v="Media - GEO/AEO"/>
    <x v="7"/>
    <d v="2026-01-16T00:00:00"/>
    <s v="Inbound - Website - Media.Monks (DEPRECATED)"/>
    <s v="Votorantim, BR"/>
    <s v="21"/>
    <s v="12"/>
    <s v="Inbound"/>
  </r>
  <r>
    <s v="OPP-10177"/>
    <s v="ACC-1064"/>
    <s v="Arrow Construction"/>
    <s v="Daniel Moura"/>
    <s v="Arrow Construction - DDM - Media - Creative - 06/2026"/>
    <s v="Change Order/Upsell"/>
    <s v="Opportunity Identified"/>
    <n v="0"/>
    <m/>
    <m/>
    <m/>
    <m/>
    <x v="3"/>
    <d v="2026-12-03T00:00:00"/>
    <s v="Inbound - Current Client (DEPRECATED)"/>
    <s v="São Carlos, BR"/>
    <s v="33"/>
    <m/>
    <s v="Customer Success"/>
  </r>
  <r>
    <s v="OPP-10230"/>
    <s v="ACC-1062"/>
    <s v="Cedar Foods"/>
    <s v="Sofia Guimaraes"/>
    <s v="Cedar Foods -  - 06/2026"/>
    <s v="Change Order/Upsell"/>
    <s v="Opportunity Identified"/>
    <n v="0"/>
    <m/>
    <m/>
    <m/>
    <m/>
    <x v="3"/>
    <d v="2026-08-04T00:00:00"/>
    <s v="Website - Sales Form"/>
    <s v="Votorantim, BR"/>
    <s v="6"/>
    <s v="12"/>
    <s v="Unknown"/>
  </r>
  <r>
    <s v="OPP-10141"/>
    <s v="ACC-1114"/>
    <s v="Company 113"/>
    <s v="Wanda Borges"/>
    <s v="Company 113 - DDM - Media - Managed Media (AOR) - 04/2026"/>
    <s v="Project - Competitive"/>
    <s v="Opportunity Identified"/>
    <n v="0"/>
    <m/>
    <m/>
    <m/>
    <m/>
    <x v="68"/>
    <d v="2026-02-18T00:00:00"/>
    <s v="Referral - S4 Company"/>
    <s v="São Paulo, BR"/>
    <s v="55"/>
    <m/>
    <s v="Referral"/>
  </r>
  <r>
    <s v="OPP-10206"/>
    <s v="ACC-1124"/>
    <s v="Company 123"/>
    <s v="Lucas Almeida"/>
    <s v="Company 123 -  - 05/2026"/>
    <m/>
    <s v="Opportunity Identified"/>
    <n v="0"/>
    <m/>
    <m/>
    <m/>
    <m/>
    <x v="69"/>
    <d v="2026-03-30T00:00:00"/>
    <s v="Referral - Internal"/>
    <s v="Votorantim, BR"/>
    <s v="15"/>
    <m/>
    <s v="Referral"/>
  </r>
  <r>
    <s v="OPP-10210"/>
    <s v="ACC-1125"/>
    <s v="Company 124"/>
    <s v="Nicolas Teixeira"/>
    <s v="Company 124 -  - 05/2026"/>
    <s v="Project - Not Competitive"/>
    <s v="Opportunity Identified"/>
    <n v="0"/>
    <m/>
    <m/>
    <m/>
    <m/>
    <x v="1"/>
    <d v="2026-03-30T00:00:00"/>
    <s v="Referral - Partner - Google Marketing Platform"/>
    <s v="São Paulo, BR"/>
    <s v="15"/>
    <s v="12"/>
    <s v="Referral"/>
  </r>
  <r>
    <s v="OPP-10248"/>
    <s v="ACC-1127"/>
    <s v="Company 126"/>
    <s v="Nicolas Teixeira"/>
    <s v="Company 126 -  - 05/2026"/>
    <s v="Project - Competitive"/>
    <s v="Opportunity Identified"/>
    <n v="0"/>
    <m/>
    <m/>
    <m/>
    <m/>
    <x v="70"/>
    <d v="2026-10-04T00:00:00"/>
    <s v="Referral - Internal"/>
    <s v="São Paulo, BR"/>
    <s v="4"/>
    <m/>
    <s v="Referral"/>
  </r>
  <r>
    <s v="OPP-10257"/>
    <s v="ACC-1129"/>
    <s v="Company 128"/>
    <s v="Joao Pereira"/>
    <s v="Company 128 -  - 06/2026"/>
    <s v="Project - Competitive"/>
    <s v="Opportunity Identified"/>
    <n v="0"/>
    <m/>
    <m/>
    <m/>
    <m/>
    <x v="36"/>
    <d v="2026-04-13T00:00:00"/>
    <s v="Referral - Personal"/>
    <s v="Votorantim, BR"/>
    <s v="1"/>
    <m/>
    <s v="Referral"/>
  </r>
  <r>
    <s v="OPP-10258"/>
    <s v="ACC-1130"/>
    <s v="Company 129"/>
    <s v="Joao Pereira"/>
    <s v="Company 129 -  - 05/2026"/>
    <s v="Project - Competitive"/>
    <s v="Opportunity Identified"/>
    <n v="0"/>
    <m/>
    <m/>
    <m/>
    <m/>
    <x v="9"/>
    <d v="2026-04-13T00:00:00"/>
    <s v="Referral - Personal"/>
    <s v="Votorantim, BR"/>
    <s v="1"/>
    <m/>
    <s v="Referral"/>
  </r>
  <r>
    <s v="OPP-10222"/>
    <s v="ACC-1067"/>
    <s v="Echo Insurance"/>
    <s v="Sofia Guimaraes"/>
    <s v="Echo Insurance -  - 06/2026"/>
    <s v="Change Order/Upsell"/>
    <s v="Opportunity Identified"/>
    <n v="0"/>
    <m/>
    <m/>
    <m/>
    <m/>
    <x v="3"/>
    <d v="2026-02-04T00:00:00"/>
    <s v="Inbound - Current Client (DEPRECATED)"/>
    <s v="São Paulo, BR"/>
    <s v="12"/>
    <m/>
    <s v="Customer Success"/>
  </r>
  <r>
    <s v="OPP-10211"/>
    <s v="ACC-1001"/>
    <s v="Eucalyptus Fintech"/>
    <s v="Nicolas Teixeira"/>
    <s v="Eucalyptus Fintech -  - 04/2026"/>
    <s v="Project - Not Competitive"/>
    <s v="Opportunity Identified"/>
    <n v="0"/>
    <m/>
    <m/>
    <m/>
    <m/>
    <x v="32"/>
    <d v="2026-03-30T00:00:00"/>
    <s v="Referral - Internal"/>
    <s v="São Paulo, BR"/>
    <s v="15"/>
    <m/>
    <s v="Referral"/>
  </r>
  <r>
    <s v="OPP-10238"/>
    <s v="ACC-1090"/>
    <s v="Filbert Sports"/>
    <s v="Bruno Costa"/>
    <s v="Filbert Sports -  - 07/2026"/>
    <s v="Change Order/Upsell"/>
    <s v="Opportunity Identified"/>
    <n v="0"/>
    <m/>
    <m/>
    <m/>
    <m/>
    <x v="13"/>
    <d v="2026-09-04T00:00:00"/>
    <s v="Existing Client - Account/Growth Activity"/>
    <s v="Votorantim, BR"/>
    <s v="5"/>
    <m/>
    <s v="Customer Success"/>
  </r>
  <r>
    <s v="OPP-10247"/>
    <s v="ACC-1073"/>
    <s v="Lotus Beverages"/>
    <s v="Nicolas Teixeira"/>
    <s v="Lotus Beverages -  - 05/2026"/>
    <s v="Project - Not Competitive"/>
    <s v="Opportunity Identified"/>
    <n v="0"/>
    <m/>
    <m/>
    <m/>
    <m/>
    <x v="70"/>
    <d v="2026-10-04T00:00:00"/>
    <s v="Referral - S4 Company"/>
    <s v="São Carlos, BR"/>
    <s v="4"/>
    <m/>
    <s v="Referral"/>
  </r>
  <r>
    <s v="OPP-10215"/>
    <s v="ACC-1077"/>
    <s v="Mesa Electronics"/>
    <s v="Vinicius Cardoso"/>
    <s v="Mesa Electronics -  - 03/2026"/>
    <m/>
    <s v="Opportunity Identified"/>
    <n v="0"/>
    <m/>
    <m/>
    <m/>
    <m/>
    <x v="11"/>
    <d v="2026-03-31T00:00:00"/>
    <s v="Inbound - Website - Media.Monks (DEPRECATED)"/>
    <s v="São Paulo, BR"/>
    <s v="14"/>
    <m/>
    <s v="Inbound"/>
  </r>
  <r>
    <s v="OPP-10253"/>
    <s v="ACC-1087"/>
    <s v="Mulberry Electronics"/>
    <s v="Felipe Lima"/>
    <s v="Mulberry Electronics -  - 05/2026"/>
    <s v="Project - Competitive"/>
    <s v="Opportunity Identified"/>
    <n v="0"/>
    <m/>
    <m/>
    <m/>
    <m/>
    <x v="9"/>
    <d v="2026-04-13T00:00:00"/>
    <s v="Referral - Internal"/>
    <s v="São Paulo, BR"/>
    <s v="1"/>
    <s v="12"/>
    <s v="Referral"/>
  </r>
  <r>
    <s v="OPP-10115"/>
    <s v="ACC-1031"/>
    <s v="Nova Studios"/>
    <s v="Queila Ribeiro"/>
    <s v="Nova Studios - DDM - Media - Managed Media (AOR) - 05/2026"/>
    <s v="Change Order/Upsell"/>
    <s v="Qualified"/>
    <n v="0"/>
    <m/>
    <m/>
    <m/>
    <m/>
    <x v="6"/>
    <d v="2026-02-02T00:00:00"/>
    <s v="Inbound - Current Client (DEPRECATED)"/>
    <s v="São Carlos, BR"/>
    <s v="71"/>
    <m/>
    <s v="Customer Success"/>
  </r>
  <r>
    <s v="OPP-10156"/>
    <s v="ACC-1031"/>
    <s v="Nova Studios"/>
    <s v="Queila Ribeiro"/>
    <s v="Nova Studios -  - 05/2026"/>
    <s v="Change Order/Upsell"/>
    <s v="Opportunity Identified"/>
    <n v="0"/>
    <m/>
    <m/>
    <m/>
    <m/>
    <x v="6"/>
    <d v="2026-02-03T00:00:00"/>
    <s v="Inbound - Current Client (DEPRECATED)"/>
    <s v="São Carlos, BR"/>
    <s v="43"/>
    <m/>
    <s v="Customer Success"/>
  </r>
  <r>
    <s v="OPP-10252"/>
    <s v="ACC-1013"/>
    <s v="Patchouli Energy"/>
    <s v="Joao Pereira"/>
    <s v="Patchouli Energy -  - 07/2026"/>
    <m/>
    <s v="Opportunity Identified"/>
    <n v="0"/>
    <m/>
    <m/>
    <m/>
    <m/>
    <x v="68"/>
    <d v="2026-10-04T00:00:00"/>
    <s v="Referral - Personal"/>
    <s v="São Carlos, BR"/>
    <s v="4"/>
    <m/>
    <s v="Referral"/>
  </r>
  <r>
    <s v="OPP-10013"/>
    <s v="ACC-1040"/>
    <s v="Quartz Pharma"/>
    <s v="Sofia Guimaraes"/>
    <s v="Quartz Pharma - DDM - Media - Creative - 06/2026"/>
    <s v="Change Order/Upsell"/>
    <s v="Opportunity Identified"/>
    <n v="0"/>
    <m/>
    <m/>
    <m/>
    <m/>
    <x v="3"/>
    <d v="2025-12-09T00:00:00"/>
    <s v="Inbound - Current Client (DEPRECATED)"/>
    <s v="São Paulo, BR"/>
    <s v="180"/>
    <s v="12"/>
    <s v="Customer Success"/>
  </r>
  <r>
    <s v="OPP-10261"/>
    <s v="ACC-1027"/>
    <s v="Rosemary Auto"/>
    <s v="Daniel Moura"/>
    <s v="Rosemary Auto -  - 07/2026"/>
    <s v="Change Order/Upsell"/>
    <s v="Opportunity Identified"/>
    <n v="0"/>
    <m/>
    <m/>
    <m/>
    <m/>
    <x v="13"/>
    <d v="2026-04-14T00:00:00"/>
    <s v="MH Lead (DEPRECATED)"/>
    <s v="São Carlos, BR"/>
    <s v="0"/>
    <m/>
    <s v="Unknown"/>
  </r>
  <r>
    <s v="OPP-10246"/>
    <s v="ACC-1063"/>
    <s v="Saffron Fashion"/>
    <s v="Ana Silva"/>
    <s v="Saffron Fashion -  - 06/2026"/>
    <s v="Change Order/Upsell"/>
    <s v="Opportunity Identified"/>
    <n v="0"/>
    <m/>
    <m/>
    <m/>
    <m/>
    <x v="3"/>
    <d v="2026-10-04T00:00:00"/>
    <s v="MH Lead (DEPRECATED)"/>
    <s v="São Carlos, BR"/>
    <s v="4"/>
    <m/>
    <s v="Unknown"/>
  </r>
  <r>
    <s v="OPP-10122"/>
    <s v="ACC-1089"/>
    <s v="Sage Streaming"/>
    <s v="Karina Oliveira"/>
    <s v="Sage Streaming - DDM - Media - Managed Media (AOR) - 05/2026"/>
    <s v="Change Order/Upsell"/>
    <s v="Qualified"/>
    <n v="0"/>
    <m/>
    <m/>
    <m/>
    <m/>
    <x v="35"/>
    <d v="2026-05-02T00:00:00"/>
    <s v="Inbound - Current Client (DEPRECATED)"/>
    <s v="São Carlos, BR"/>
    <s v="68"/>
    <s v="12"/>
    <s v="Customer Success"/>
  </r>
  <r>
    <s v="OPP-10224"/>
    <s v="ACC-1091"/>
    <s v="Wren Chemicals"/>
    <s v="Karina Oliveira"/>
    <s v="Wren Chemicals -  - 05/2026"/>
    <s v="Change Order/Upsell"/>
    <s v="Opportunity Identified"/>
    <n v="0"/>
    <m/>
    <m/>
    <m/>
    <m/>
    <x v="1"/>
    <d v="2026-02-04T00:00:00"/>
    <s v="MH Lead (DEPRECATED)"/>
    <s v="São Carlos, BR"/>
    <s v="12"/>
    <s v="12"/>
    <s v="Unknown"/>
  </r>
  <r>
    <s v="OPP-10200"/>
    <s v="ACC-1029"/>
    <s v="Zephyr Telecom"/>
    <s v="Ana Silva"/>
    <s v="Zephyr Telecom - DDM - Media - Managed Media (AOR) - 06/2026"/>
    <s v="Change Order/Upsell"/>
    <s v="Opportunity Identified"/>
    <n v="0"/>
    <m/>
    <m/>
    <m/>
    <m/>
    <x v="3"/>
    <d v="2026-03-26T00:00:00"/>
    <s v="Inbound - Current Client (DEPRECATED)"/>
    <s v="São Carlos, BR"/>
    <s v="19"/>
    <s v="12"/>
    <s v="Customer Success"/>
  </r>
  <r>
    <s v="OPP-10201"/>
    <s v="ACC-1029"/>
    <s v="Zephyr Telecom"/>
    <s v="Ana Silva"/>
    <s v="Zephyr Telecom - Content - Social - Project - 07/2026"/>
    <s v="Change Order/Upsell"/>
    <s v="Opportunity Identified"/>
    <n v="0"/>
    <m/>
    <m/>
    <m/>
    <m/>
    <x v="3"/>
    <d v="2026-03-26T00:00:00"/>
    <s v="Inbound - Current Client (DEPRECATED)"/>
    <s v="São Carlos, BR"/>
    <s v="19"/>
    <m/>
    <s v="Customer Succes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13">
  <r>
    <s v="OPP-10150"/>
    <s v="ACC-1037"/>
    <s v="Acacia Telecom"/>
    <s v="Bruno Costa"/>
    <s v="Acacia Telecom - DDM - Media - Managed Media (AOR) - 04/2026"/>
    <s v="Change Order/Upsell"/>
    <x v="0"/>
    <n v="601599.48"/>
    <s v="BRL"/>
    <n v="95637.84"/>
    <s v="BRL"/>
    <s v="Content - Platform - Performance, SEO, CRM &amp; Loyalty"/>
    <d v="2026-04-30T00:00:00"/>
    <d v="2026-02-26T00:00:00"/>
    <s v="Inbound - Current Client (DEPRECATED)"/>
    <s v="São Carlos, BR"/>
    <s v="42"/>
    <s v="12"/>
    <x v="0"/>
  </r>
  <r>
    <s v="OPP-10134"/>
    <s v="ACC-1064"/>
    <s v="Arrow Construction"/>
    <s v="Daniel Moura"/>
    <s v="Arrow Construction - DDM - Media - Managed Media (AOR) - 05/2026"/>
    <s v="Change Order/Upsell"/>
    <x v="1"/>
    <n v="1429074.08"/>
    <s v="BRL"/>
    <n v="510758.40000000002"/>
    <s v="BRL"/>
    <s v="Content - Platform - Performance, SEO, CRM &amp; Loyalty"/>
    <d v="2026-05-29T00:00:00"/>
    <d v="2026-02-13T00:00:00"/>
    <s v="Inbound - Current Client (DEPRECATED)"/>
    <s v="São Carlos, BR"/>
    <s v="33"/>
    <s v="12"/>
    <x v="0"/>
  </r>
  <r>
    <s v="OPP-10123"/>
    <s v="ACC-1101"/>
    <s v="Basil Sports"/>
    <s v="Xavier Correia"/>
    <s v="Basil Sports - Content - Platform - Performance, SEO, CRM &amp; Loyalty - 03/2026"/>
    <s v="Project - Not Competitive"/>
    <x v="2"/>
    <n v="50514.15"/>
    <s v="BRL"/>
    <n v="50514.15"/>
    <s v="BRL"/>
    <s v="Content - Platform - Performance, SEO, CRM &amp; Loyalty"/>
    <d v="2026-03-26T00:00:00"/>
    <d v="2026-06-02T00:00:00"/>
    <s v="Don't Know/Other (DEPRECATED)"/>
    <s v="São Carlos, BR"/>
    <s v="19"/>
    <s v="1,5"/>
    <x v="1"/>
  </r>
  <r>
    <s v="OPP-10110"/>
    <s v="ACC-1062"/>
    <s v="Cedar Foods"/>
    <s v="Daniel Moura"/>
    <s v="Cedar Foods - Content - Platform - Performance, SEO, CRM &amp; Loyalty - 06/2026"/>
    <s v="Change Order/Upsell"/>
    <x v="1"/>
    <n v="4565828.57"/>
    <s v="BRL"/>
    <n v="443593.21"/>
    <s v="BRL"/>
    <s v="Content - Platform - Performance, SEO, CRM &amp; Loyalty"/>
    <d v="2026-06-30T00:00:00"/>
    <d v="2026-01-26T00:00:00"/>
    <s v="Inbound - Current Client (DEPRECATED)"/>
    <s v="Votorantim, BR"/>
    <s v="33"/>
    <s v="12"/>
    <x v="0"/>
  </r>
  <r>
    <s v="OPP-10110"/>
    <s v="ACC-1062"/>
    <s v="Cedar Foods"/>
    <s v="Daniel Moura"/>
    <s v="Cedar Foods - Content - Platform - Performance, SEO, CRM &amp; Loyalty - 06/2026"/>
    <s v="Change Order/Upsell"/>
    <x v="1"/>
    <n v="4565828.57"/>
    <s v="BRL"/>
    <n v="328515"/>
    <s v="BRL"/>
    <s v="Content - Platform - Performance, SEO, CRM &amp; Loyalty"/>
    <d v="2026-06-30T00:00:00"/>
    <d v="2026-01-26T00:00:00"/>
    <s v="Inbound - Current Client (DEPRECATED)"/>
    <s v="Votorantim, BR"/>
    <s v="33"/>
    <s v="12"/>
    <x v="0"/>
  </r>
  <r>
    <s v="OPP-10099"/>
    <s v="ACC-1112"/>
    <s v="Company 111"/>
    <s v="Xavier Correia"/>
    <s v="Company 111 - Content - Platform - Performance, SEO, CRM &amp; Loyalty - 02/2026"/>
    <s v="Project - Competitive"/>
    <x v="2"/>
    <n v="4293965.2399999993"/>
    <s v="BRL"/>
    <n v="526427.28"/>
    <s v="BRL"/>
    <s v="Content - Platform - Performance, SEO, CRM &amp; Loyalty"/>
    <d v="2026-02-27T00:00:00"/>
    <d v="2026-01-20T00:00:00"/>
    <s v="Referral - S4 Company"/>
    <s v="São Carlos, BR"/>
    <s v="46"/>
    <s v="12"/>
    <x v="2"/>
  </r>
  <r>
    <s v="OPP-10242"/>
    <s v="ACC-1115"/>
    <s v="Company 114"/>
    <s v="Xavier Correia"/>
    <s v="Company 114 - Content - Platform - Performance, SEO, CRM &amp; Loyalty - 06/2026"/>
    <s v="Project - Competitive"/>
    <x v="1"/>
    <n v="877063.2"/>
    <s v="BRL"/>
    <n v="460392"/>
    <s v="BRL"/>
    <s v="Content - Platform - Performance, SEO, CRM &amp; Loyalty"/>
    <d v="2026-06-30T00:00:00"/>
    <d v="2026-10-04T00:00:00"/>
    <s v="MH Lead (DEPRECATED)"/>
    <s v="Votorantim, BR"/>
    <s v="4"/>
    <s v="12"/>
    <x v="1"/>
  </r>
  <r>
    <s v="OPP-10154"/>
    <s v="ACC-1119"/>
    <s v="Company 118"/>
    <s v="Wanda Borges"/>
    <s v="Company 118 - Content - Platform - Performance, SEO, CRM &amp; Loyalty - 05/2026"/>
    <s v="Project - Competitive"/>
    <x v="1"/>
    <n v="2344909.7999999998"/>
    <s v="BRL"/>
    <n v="853158.72"/>
    <s v="BRL"/>
    <s v="Content - Platform - Performance, SEO, CRM &amp; Loyalty"/>
    <d v="2026-05-29T00:00:00"/>
    <d v="2026-02-27T00:00:00"/>
    <s v="Inbound - Website - Media.Monks (DEPRECATED)"/>
    <s v="Votorantim, BR"/>
    <s v="15"/>
    <s v="12"/>
    <x v="3"/>
  </r>
  <r>
    <s v="OPP-10154"/>
    <s v="ACC-1119"/>
    <s v="Company 118"/>
    <s v="Wanda Borges"/>
    <s v="Company 118 - Content - Platform - Performance, SEO, CRM &amp; Loyalty - 05/2026"/>
    <s v="Project - Competitive"/>
    <x v="1"/>
    <n v="2344909.7999999998"/>
    <s v="BRL"/>
    <n v="211859.76"/>
    <s v="BRL"/>
    <s v="Content - Platform - Performance, SEO, CRM &amp; Loyalty"/>
    <d v="2026-05-29T00:00:00"/>
    <d v="2026-02-27T00:00:00"/>
    <s v="Inbound - Website - Media.Monks (DEPRECATED)"/>
    <s v="Votorantim, BR"/>
    <s v="15"/>
    <s v="12"/>
    <x v="3"/>
  </r>
  <r>
    <s v="OPP-10071"/>
    <s v="ACC-1050"/>
    <s v="Dune Ecommerce"/>
    <s v="Queila Ribeiro"/>
    <s v="Dune Ecommerce - Content - Platform - Performance, SEO, CRM &amp; Loyalty - 03/2026"/>
    <s v="Change Order/Upsell"/>
    <x v="2"/>
    <n v="1818447"/>
    <s v="BRL"/>
    <n v="270000"/>
    <s v="BRL"/>
    <s v="Content - Platform - Performance, SEO, CRM &amp; Loyalty"/>
    <d v="2026-03-24T00:00:00"/>
    <d v="2025-12-15T00:00:00"/>
    <s v="Inbound - Current Client (DEPRECATED)"/>
    <s v="São Carlos, BR"/>
    <s v="21"/>
    <s v="8"/>
    <x v="0"/>
  </r>
  <r>
    <s v="OPP-10149"/>
    <s v="ACC-1050"/>
    <s v="Dune Ecommerce"/>
    <s v="Queila Ribeiro"/>
    <s v="Dune Ecommerce - Content - Platform - Website Creation &amp; Production - 03/2026"/>
    <s v="Change Order/Upsell"/>
    <x v="0"/>
    <n v="646888.19999999995"/>
    <s v="BRL"/>
    <n v="646888.19999999995"/>
    <s v="BRL"/>
    <s v="Content - Platform - Performance, SEO, CRM &amp; Loyalty"/>
    <d v="2026-04-30T00:00:00"/>
    <d v="2026-02-23T00:00:00"/>
    <s v="Inbound - Current Client (DEPRECATED)"/>
    <s v="São Carlos, BR"/>
    <s v="8"/>
    <s v="12"/>
    <x v="0"/>
  </r>
  <r>
    <s v="OPP-10183"/>
    <s v="ACC-1050"/>
    <s v="Dune Ecommerce"/>
    <s v="Queila Ribeiro"/>
    <s v="Dune Ecommerce - Content - Platform - Performance, SEO, CRM &amp; Loyalty - 04/2026"/>
    <s v="Change Order/Upsell"/>
    <x v="3"/>
    <n v="296000"/>
    <s v="BRL"/>
    <n v="166000"/>
    <s v="BRL"/>
    <s v="Content - Platform - Performance, SEO, CRM &amp; Loyalty"/>
    <d v="2026-05-31T00:00:00"/>
    <d v="2026-03-14T00:00:00"/>
    <s v="Inbound - Current Client (DEPRECATED)"/>
    <s v="São Carlos, BR"/>
    <s v="13"/>
    <s v="6"/>
    <x v="0"/>
  </r>
  <r>
    <s v="OPP-10148"/>
    <s v="ACC-1050"/>
    <s v="Dune Ecommerce"/>
    <s v="Queila Ribeiro"/>
    <s v="Dune Ecommerce - Content - Platform - Website Creation &amp; Production - 05/2026"/>
    <s v="Flex/Renewal"/>
    <x v="0"/>
    <n v="2281464.96"/>
    <s v="BRL"/>
    <n v="2281464.96"/>
    <s v="BRL"/>
    <s v="Content - Platform - Performance, SEO, CRM &amp; Loyalty"/>
    <d v="2026-04-30T00:00:00"/>
    <d v="2026-02-23T00:00:00"/>
    <s v="Inbound - Current Client (DEPRECATED)"/>
    <s v="São Carlos, BR"/>
    <s v="8"/>
    <s v="12"/>
    <x v="0"/>
  </r>
  <r>
    <s v="OPP-10029"/>
    <s v="ACC-1022"/>
    <s v="Ember Hospitality"/>
    <s v="Sofia Guimaraes"/>
    <s v="Ember Hospitality - Content - Platform - Performance, SEO, CRM &amp; Loyalty - 04/2026"/>
    <s v="Change Order/Upsell"/>
    <x v="2"/>
    <n v="1653085.7999999998"/>
    <s v="BRL"/>
    <n v="732711.84"/>
    <s v="BRL"/>
    <s v="Content - Platform - Performance, SEO, CRM &amp; Loyalty"/>
    <d v="2026-04-13T00:00:00"/>
    <d v="2025-10-24T00:00:00"/>
    <s v="Inbound - Current Client (DEPRECATED)"/>
    <s v="São Carlos, BR"/>
    <s v="1"/>
    <s v="10"/>
    <x v="0"/>
  </r>
  <r>
    <s v="OPP-10208"/>
    <s v="ACC-1053"/>
    <s v="Hemlock Insurance"/>
    <s v="Bernardo Castro"/>
    <s v="Hemlock Insurance - DDM - Data - Services &amp; Tech - Services (Analytics &amp; Support) - 06/2026"/>
    <s v="Change Order/Upsell"/>
    <x v="1"/>
    <n v="492000"/>
    <s v="BRL"/>
    <n v="492000"/>
    <s v="BRL"/>
    <s v="Content - Platform - Performance, SEO, CRM &amp; Loyalty"/>
    <d v="2026-05-31T00:00:00"/>
    <d v="2026-03-30T00:00:00"/>
    <s v="Inbound - Current Client (DEPRECATED) "/>
    <s v="São Carlos, BR"/>
    <s v="5"/>
    <s v="12"/>
    <x v="0"/>
  </r>
  <r>
    <s v="OPP-10106"/>
    <s v="ACC-1023"/>
    <s v="Iris Delivery"/>
    <s v="Amanda Rios"/>
    <s v="Iris Delivery - DDM - Data - Services &amp; Tech - Services (Analytics &amp; Support) - 04/2026"/>
    <s v="Change Order/Upsell"/>
    <x v="2"/>
    <n v="77204.399999999994"/>
    <s v="BRL"/>
    <n v="77204.399999999994"/>
    <s v="BRL"/>
    <s v="Content - Platform - Performance, SEO, CRM &amp; Loyalty"/>
    <d v="2026-05-03T00:00:00"/>
    <d v="2026-01-22T00:00:00"/>
    <s v="Inbound - Current Client (DEPRECATED)"/>
    <s v="Votorantim, BR"/>
    <s v="40"/>
    <s v="12"/>
    <x v="0"/>
  </r>
  <r>
    <s v="OPP-10050"/>
    <s v="ACC-1045"/>
    <s v="Jasper Security"/>
    <s v="Felipe Lima"/>
    <s v="Jasper Security - Content - Platform - Performance, SEO, CRM &amp; Loyalty - 05/2026"/>
    <s v="Project - Competitive"/>
    <x v="3"/>
    <n v="6208423.2000000002"/>
    <s v="BRL"/>
    <n v="1026107.52"/>
    <s v="BRL"/>
    <s v="Content - Platform - Performance, SEO, CRM &amp; Loyalty"/>
    <d v="2026-05-13T00:00:00"/>
    <d v="2025-11-26T00:00:00"/>
    <s v="Referral - Internal"/>
    <s v="Votorantim, BR"/>
    <s v="64"/>
    <s v="12"/>
    <x v="2"/>
  </r>
  <r>
    <s v="OPP-10035"/>
    <s v="ACC-1010"/>
    <s v="Juniper Data"/>
    <s v="Lucas Almeida"/>
    <s v="Juniper Data - Content - Platform - Performance, SEO, CRM &amp; Loyalty - 06/2026"/>
    <s v="Project - Competitive"/>
    <x v="3"/>
    <n v="286464"/>
    <s v="BRL"/>
    <n v="12000"/>
    <s v="BRL"/>
    <s v="Content - Platform - Performance, SEO, CRM &amp; Loyalty"/>
    <d v="2026-06-29T00:00:00"/>
    <d v="2025-03-11T00:00:00"/>
    <s v="Industry Event"/>
    <s v="São Carlos, BR"/>
    <s v="134"/>
    <s v="24"/>
    <x v="4"/>
  </r>
  <r>
    <s v="OPP-10108"/>
    <s v="ACC-1099"/>
    <s v="Kiwi Logistics"/>
    <s v="Yasmin Nogueira"/>
    <s v="Kiwi Logistics - Content - Platform - Performance, SEO, CRM &amp; Loyalty - 05/2026"/>
    <s v="Project - Competitive"/>
    <x v="2"/>
    <n v="75753.77"/>
    <s v="BRL"/>
    <n v="75753.77"/>
    <s v="BRL"/>
    <s v="Content - Platform - Performance, SEO, CRM &amp; Loyalty"/>
    <d v="2026-03-31T00:00:00"/>
    <d v="2026-01-23T00:00:00"/>
    <s v="Referral - S4 Company"/>
    <s v="São Carlos, BR"/>
    <s v="14"/>
    <s v="3"/>
    <x v="2"/>
  </r>
  <r>
    <s v="OPP-10019"/>
    <s v="ACC-1099"/>
    <s v="Kiwi Logistics"/>
    <s v="Xavier Correia"/>
    <s v="Kiwi Logistics - Content - Platform - Performance, SEO, CRM &amp; Loyalty - 03/2026"/>
    <s v="Project - Not Competitive"/>
    <x v="0"/>
    <n v="42721.49"/>
    <s v="BRL"/>
    <n v="42721.49"/>
    <s v="BRL"/>
    <s v="Content - Platform - Performance, SEO, CRM &amp; Loyalty"/>
    <d v="2026-11-05T00:00:00"/>
    <d v="2025-01-10T00:00:00"/>
    <s v="Referral - S4 Company"/>
    <s v="São Carlos, BR"/>
    <s v="175"/>
    <s v="2"/>
    <x v="2"/>
  </r>
  <r>
    <s v="OPP-10144"/>
    <s v="ACC-1041"/>
    <s v="Linden Foods"/>
    <s v="Amanda Rios"/>
    <s v="Linden Foods - Content - Platform - Performance, SEO, CRM &amp; Loyalty - 05/2026"/>
    <s v="Flex/Renewal"/>
    <x v="3"/>
    <n v="1926466.8"/>
    <s v="BRL"/>
    <n v="464061.12"/>
    <s v="BRL"/>
    <s v="Content - Platform - Performance, SEO, CRM &amp; Loyalty"/>
    <d v="2026-05-31T00:00:00"/>
    <d v="2026-02-20T00:00:00"/>
    <s v="Inbound - Current Client (DEPRECATED)"/>
    <s v="São Carlos, BR"/>
    <s v="26"/>
    <s v="12"/>
    <x v="0"/>
  </r>
  <r>
    <s v="OPP-10118"/>
    <s v="ACC-1066"/>
    <s v="Magnolia Retail"/>
    <s v="Carla Mendes"/>
    <s v="Magnolia Retail - Content - Platform - Performance, SEO, CRM &amp; Loyalty - 05/2026"/>
    <s v="Change Order/Upsell"/>
    <x v="1"/>
    <n v="795900.24"/>
    <s v="BRL"/>
    <n v="45000"/>
    <s v="BRL"/>
    <s v="Content - Platform - Performance, SEO, CRM &amp; Loyalty"/>
    <d v="2026-05-31T00:00:00"/>
    <d v="2026-04-02T00:00:00"/>
    <s v="Inbound - Current Client (DEPRECATED)"/>
    <s v="São Carlos, BR"/>
    <s v="69"/>
    <s v="3"/>
    <x v="0"/>
  </r>
  <r>
    <s v="OPP-10055"/>
    <s v="ACC-1084"/>
    <s v="Nigella Security"/>
    <s v="Bruno Costa"/>
    <s v="Nigella Security - DDM - Media - Managed Media (AOR) - 05/2026"/>
    <s v="Change Order/Upsell"/>
    <x v="4"/>
    <n v="192000"/>
    <s v="BRL"/>
    <n v="192000"/>
    <s v="BRL"/>
    <s v="Content - Platform - Performance, SEO, CRM &amp; Loyalty"/>
    <d v="2026-05-31T00:00:00"/>
    <d v="2025-11-28T00:00:00"/>
    <s v="Inbound - Current Client (DEPRECATED)"/>
    <s v="São Carlos, BR"/>
    <s v="137"/>
    <s v="12"/>
    <x v="0"/>
  </r>
  <r>
    <s v="OPP-10057"/>
    <s v="ACC-1031"/>
    <s v="Nova Studios"/>
    <s v="Queila Ribeiro"/>
    <s v="Nova Studios - DDM - Data - Services &amp; Tech - Services (Analytics &amp; Support) - 03/2026"/>
    <s v="Change Order/Upsell"/>
    <x v="3"/>
    <n v="3015949.3200000003"/>
    <s v="BRL"/>
    <n v="1885842.96"/>
    <s v="BRL"/>
    <s v="Content - Platform - Performance, SEO, CRM &amp; Loyalty"/>
    <d v="2026-07-31T00:00:00"/>
    <d v="2025-01-12T00:00:00"/>
    <s v="Inbound - Current Client (DEPRECATED)"/>
    <s v="São Carlos, BR"/>
    <s v="134"/>
    <s v="12"/>
    <x v="0"/>
  </r>
  <r>
    <s v="OPP-10012"/>
    <s v="ACC-1056"/>
    <s v="Orion Bank"/>
    <s v="Carla Mendes"/>
    <s v="Orion Bank - Content - Platform - Performance, SEO, CRM &amp; Loyalty - 03/2026"/>
    <s v="Change Order/Upsell"/>
    <x v="2"/>
    <n v="222000"/>
    <s v="BRL"/>
    <n v="222000"/>
    <s v="BRL"/>
    <s v="Content - Platform - Performance, SEO, CRM &amp; Loyalty"/>
    <d v="2026-09-03T00:00:00"/>
    <d v="2025-09-09T00:00:00"/>
    <s v="Inbound - Current Client (DEPRECATED)"/>
    <s v="Votorantim, BR"/>
    <s v="36"/>
    <s v="8"/>
    <x v="0"/>
  </r>
  <r>
    <s v="OPP-10140"/>
    <s v="ACC-1071"/>
    <s v="Pomelo Ecommerce"/>
    <s v="Wanda Borges"/>
    <s v="Pomelo Ecommerce - Content - Platform - Performance, SEO, CRM &amp; Loyalty - 05/2026"/>
    <s v="Project - Not Competitive"/>
    <x v="4"/>
    <n v="149540.79"/>
    <s v="BRL"/>
    <n v="149540.79"/>
    <s v="BRL"/>
    <s v="Content - Platform - Performance, SEO, CRM &amp; Loyalty"/>
    <d v="2026-08-05T00:00:00"/>
    <d v="2026-02-18T00:00:00"/>
    <s v="Referral - S4 Company"/>
    <s v="São Carlos, BR"/>
    <s v="55"/>
    <s v="3"/>
    <x v="2"/>
  </r>
  <r>
    <s v="OPP-10024"/>
    <s v="ACC-1051"/>
    <s v="Pyrite Fintech"/>
    <s v="Karina Oliveira"/>
    <s v="Pyrite Fintech - Content - Platform - Performance, SEO, CRM &amp; Loyalty - 04/2026"/>
    <s v="Change Order/Upsell"/>
    <x v="0"/>
    <n v="593400"/>
    <s v="BRL"/>
    <n v="345148.56"/>
    <s v="BRL"/>
    <s v="Content - Platform - Performance, SEO, CRM &amp; Loyalty"/>
    <d v="2026-04-30T00:00:00"/>
    <d v="2025-10-10T00:00:00"/>
    <s v="Inbound - Current Client (DEPRECATED)"/>
    <s v="São Carlos, BR"/>
    <s v="127"/>
    <s v="12"/>
    <x v="0"/>
  </r>
  <r>
    <s v="OPP-10169"/>
    <s v="ACC-1017"/>
    <s v="Quince Travel"/>
    <s v="Pedro Martins"/>
    <s v="Quince Travel - Content - Platform - Performance, SEO, CRM &amp; Loyalty - 04/2026"/>
    <s v="Flex/Renewal"/>
    <x v="0"/>
    <n v="2510326.92"/>
    <s v="BRL"/>
    <n v="236040.72"/>
    <s v="BRL"/>
    <s v="Content - Platform - Performance, SEO, CRM &amp; Loyalty"/>
    <d v="2026-04-30T00:00:00"/>
    <d v="2026-06-03T00:00:00"/>
    <s v="Inbound - Current Client (DEPRECATED)"/>
    <s v="São Carlos, BR"/>
    <s v="39"/>
    <s v="12"/>
    <x v="0"/>
  </r>
  <r>
    <s v="OPP-10169"/>
    <s v="ACC-1017"/>
    <s v="Quince Travel"/>
    <s v="Pedro Martins"/>
    <s v="Quince Travel - Content - Platform - Performance, SEO, CRM &amp; Loyalty - 04/2026"/>
    <s v="Flex/Renewal"/>
    <x v="0"/>
    <n v="2510326.92"/>
    <s v="BRL"/>
    <n v="450126.12"/>
    <s v="BRL"/>
    <s v="Content - Platform - Performance, SEO, CRM &amp; Loyalty"/>
    <d v="2026-04-30T00:00:00"/>
    <d v="2026-06-03T00:00:00"/>
    <s v="Inbound - Current Client (DEPRECATED)"/>
    <s v="São Carlos, BR"/>
    <s v="39"/>
    <s v="12"/>
    <x v="0"/>
  </r>
  <r>
    <s v="OPP-10030"/>
    <s v="ACC-1100"/>
    <s v="Ramson Gaming"/>
    <s v="Felipe Lima"/>
    <s v="Ramson Gaming - Content - Platform - Performance, SEO, CRM &amp; Loyalty - 06/2026"/>
    <s v="Project - Not Competitive"/>
    <x v="1"/>
    <n v="645420"/>
    <s v="BRL"/>
    <n v="645420"/>
    <s v="BRL"/>
    <s v="Content - Platform - Performance, SEO, CRM &amp; Loyalty"/>
    <d v="2026-01-06T00:00:00"/>
    <d v="2025-10-27T00:00:00"/>
    <s v="Referral - Internal"/>
    <s v="São Carlos, BR"/>
    <s v="148"/>
    <s v="12"/>
    <x v="2"/>
  </r>
  <r>
    <s v="OPP-10186"/>
    <s v="ACC-1063"/>
    <s v="Saffron Fashion"/>
    <s v="Ana Silva"/>
    <s v="Saffron Fashion - DDM - Data - Services &amp; Tech - Services (Analytics &amp; Support) - 01/2026"/>
    <s v="Change Order/Upsell"/>
    <x v="3"/>
    <n v="2316291.86"/>
    <s v="BRL"/>
    <n v="2316291.86"/>
    <s v="BRL"/>
    <s v="Content - Platform - Performance, SEO, CRM &amp; Loyalty"/>
    <d v="2026-05-31T00:00:00"/>
    <d v="2026-03-19T00:00:00"/>
    <s v="Inbound - Current Client (DEPRECATED)"/>
    <s v="São Carlos, BR"/>
    <s v="5"/>
    <s v="12"/>
    <x v="0"/>
  </r>
  <r>
    <s v="OPP-10017"/>
    <s v="ACC-1063"/>
    <s v="Saffron Fashion"/>
    <s v="Ana Silva"/>
    <s v="Saffron Fashion - DDM - Media - Creative - 01/2026"/>
    <s v="Change Order/Upsell"/>
    <x v="2"/>
    <n v="1157087.3999999999"/>
    <s v="BRL"/>
    <n v="926822.40000000002"/>
    <s v="BRL"/>
    <s v="Content - Platform - Performance, SEO, CRM &amp; Loyalty"/>
    <d v="2026-05-01T00:00:00"/>
    <d v="2025-09-25T00:00:00"/>
    <s v="Inbound - Current Client (DEPRECATED)"/>
    <s v="São Carlos, BR"/>
    <s v="99"/>
    <s v="12"/>
    <x v="0"/>
  </r>
  <r>
    <s v="OPP-10072"/>
    <s v="ACC-1063"/>
    <s v="Saffron Fashion"/>
    <s v="Ana Silva"/>
    <s v="Saffron Fashion - DDM - Media - Managed Media (AOR) - 01/2026"/>
    <s v="Flex/Renewal"/>
    <x v="2"/>
    <n v="6770269.9100000001"/>
    <s v="BRL"/>
    <n v="455478.43"/>
    <s v="BRL"/>
    <s v="Content - Platform - Performance, SEO, CRM &amp; Loyalty"/>
    <d v="2026-01-27T00:00:00"/>
    <d v="2025-12-15T00:00:00"/>
    <s v="Inbound - Current Client (DEPRECATED)"/>
    <s v="São Carlos, BR"/>
    <s v="77"/>
    <s v="12"/>
    <x v="0"/>
  </r>
  <r>
    <s v="OPP-10089"/>
    <s v="ACC-1105"/>
    <s v="Velvet Cosmetics"/>
    <s v="Felipe Lima"/>
    <s v="Velvet Cosmetics - Content - Platform - Performance, SEO, CRM &amp; Loyalty - 06/2026"/>
    <s v="Project - Not Competitive"/>
    <x v="1"/>
    <n v="520000"/>
    <s v="BRL"/>
    <n v="520000"/>
    <s v="BRL"/>
    <s v="Content - Platform - Performance, SEO, CRM &amp; Loyalty"/>
    <d v="2026-01-06T00:00:00"/>
    <d v="2026-12-01T00:00:00"/>
    <s v="Don't Know/Other (DEPRECATED)"/>
    <s v="São Carlos, BR"/>
    <s v="64"/>
    <s v="2"/>
    <x v="1"/>
  </r>
  <r>
    <s v="OPP-10119"/>
    <s v="ACC-1021"/>
    <s v="Violet Agriculture"/>
    <s v="Carla Mendes"/>
    <s v="Violet Agriculture - DDM - Media - Activation - Platforms Reselling - 03/2026"/>
    <s v="Change Order/Upsell"/>
    <x v="1"/>
    <n v="97858.559999999998"/>
    <s v="BRL"/>
    <n v="97858.559999999998"/>
    <s v="BRL"/>
    <s v="Content - Platform - Performance, SEO, CRM &amp; Loyalty"/>
    <d v="2026-05-31T00:00:00"/>
    <d v="2026-04-02T00:00:00"/>
    <s v="Inbound - Current Client (DEPRECATED)"/>
    <s v="São Carlos, BR"/>
    <s v="32"/>
    <s v="12"/>
    <x v="0"/>
  </r>
  <r>
    <s v="OPP-10159"/>
    <s v="ACC-1111"/>
    <s v="Walnut Manufacturing"/>
    <s v="Wanda Borges"/>
    <s v="Walnut Manufacturing - Content - Platform - Performance, SEO, CRM &amp; Loyalty - 05/2026"/>
    <s v="Project - Competitive"/>
    <x v="1"/>
    <n v="2133050.04"/>
    <s v="BRL"/>
    <n v="853158.72"/>
    <s v="BRL"/>
    <s v="Content - Platform - Performance, SEO, CRM &amp; Loyalty"/>
    <d v="2026-05-29T00:00:00"/>
    <d v="2026-03-03T00:00:00"/>
    <s v="Inbound - Website - Media.Monks (DEPRECATED)"/>
    <s v="Votorantim, BR"/>
    <s v="15"/>
    <s v="12"/>
    <x v="3"/>
  </r>
  <r>
    <s v="OPP-10174"/>
    <s v="ACC-1006"/>
    <s v="Willow Beauty"/>
    <s v="Bruno Costa"/>
    <s v="Willow Beauty - DDM - Commerce - Content - 04/2026"/>
    <s v="Project - Not Competitive"/>
    <x v="4"/>
    <n v="88000"/>
    <s v="BRL"/>
    <n v="88000"/>
    <s v="BRL"/>
    <s v="Content - Platform - Performance, SEO, CRM &amp; Loyalty"/>
    <d v="2026-01-06T00:00:00"/>
    <d v="2026-11-03T00:00:00"/>
    <s v="Referral - S4 Company"/>
    <s v="São Carlos, BR"/>
    <s v="29"/>
    <s v="2"/>
    <x v="2"/>
  </r>
  <r>
    <s v="OPP-10171"/>
    <s v="ACC-1091"/>
    <s v="Wren Chemicals"/>
    <s v="Karina Oliveira"/>
    <s v="Wren Chemicals - Content - Platform - Performance, SEO, CRM &amp; Loyalty - 06/2026"/>
    <s v="Flex/Renewal"/>
    <x v="0"/>
    <n v="1993383.1199999999"/>
    <s v="BRL"/>
    <n v="320220.59999999998"/>
    <s v="BRL"/>
    <s v="Content - Platform - Performance, SEO, CRM &amp; Loyalty"/>
    <d v="2026-02-06T00:00:00"/>
    <d v="2026-09-03T00:00:00"/>
    <s v="Inbound - Current Client (DEPRECATED)"/>
    <s v="São Carlos, BR"/>
    <s v="15"/>
    <s v="12"/>
    <x v="0"/>
  </r>
  <r>
    <s v="OPP-10207"/>
    <s v="ACC-1043"/>
    <s v="Xanadu Media"/>
    <s v="Bernardo Castro"/>
    <s v="Xanadu Media - DDM - Commerce - Content - 06/2026"/>
    <s v="Change Order/Upsell"/>
    <x v="1"/>
    <n v="838800"/>
    <s v="BRL"/>
    <n v="248400"/>
    <s v="BRL"/>
    <s v="Content - Platform - Performance, SEO, CRM &amp; Loyalty"/>
    <d v="2026-06-30T00:00:00"/>
    <d v="2026-03-30T00:00:00"/>
    <s v="Prospecting - Current Client (DEPRECATED)"/>
    <s v="Votorantim, BR"/>
    <s v="5"/>
    <s v="12"/>
    <x v="0"/>
  </r>
  <r>
    <s v="OPP-10241"/>
    <s v="ACC-1081"/>
    <s v="Yarrow Health"/>
    <s v="Amanda Rios"/>
    <s v="Yarrow Health - Content - Platform - Performance, SEO, CRM &amp; Loyalty - 06/2026"/>
    <s v="Flex/Renewal"/>
    <x v="4"/>
    <n v="695284.8"/>
    <s v="BRL"/>
    <n v="170638.2"/>
    <s v="BRL"/>
    <s v="Content - Platform - Performance, SEO, CRM &amp; Loyalty"/>
    <d v="2026-06-30T00:00:00"/>
    <d v="2026-10-04T00:00:00"/>
    <s v="Existing Client - Account/Growth Activity"/>
    <s v="São Carlos, BR"/>
    <s v="4"/>
    <s v="12"/>
    <x v="0"/>
  </r>
  <r>
    <s v="OPP-10172"/>
    <s v="ACC-1085"/>
    <s v="Yumberry Mobile"/>
    <s v="Felipe Lima"/>
    <s v="Yumberry Mobile - Content - Platform - Performance, SEO, CRM &amp; Loyalty - 05/2026"/>
    <s v="Project - Competitive"/>
    <x v="3"/>
    <n v="835250.32000000007"/>
    <s v="BRL"/>
    <n v="150756"/>
    <s v="BRL"/>
    <s v="Content - Platform - Performance, SEO, CRM &amp; Loyalty"/>
    <d v="2026-05-13T00:00:00"/>
    <d v="2026-11-03T00:00:00"/>
    <s v="Referral - Internal"/>
    <s v="São Carlos, BR"/>
    <s v="25"/>
    <s v="12"/>
    <x v="2"/>
  </r>
  <r>
    <s v="OPP-10043"/>
    <s v="ACC-1029"/>
    <s v="Zephyr Telecom"/>
    <s v="Ana Silva"/>
    <s v="Zephyr Telecom - DDM - Data - Services &amp; Tech - Services (Analytics &amp; Support) - 03/2026"/>
    <s v="Flex/Renewal"/>
    <x v="2"/>
    <n v="4260383.32"/>
    <s v="BRL"/>
    <n v="964773.66"/>
    <s v="BRL"/>
    <s v="Content - Platform - Performance, SEO, CRM &amp; Loyalty"/>
    <d v="2026-09-03T00:00:00"/>
    <d v="2025-11-14T00:00:00"/>
    <s v="Inbound - Current Client (DEPRECATED)"/>
    <s v="São Carlos, BR"/>
    <s v="36"/>
    <s v="12"/>
    <x v="0"/>
  </r>
  <r>
    <s v="OPP-10045"/>
    <s v="ACC-1029"/>
    <s v="Zephyr Telecom"/>
    <s v="Ana Silva"/>
    <s v="Zephyr Telecom - Content - Social - Project - 02/2026"/>
    <s v="Flex/Renewal"/>
    <x v="2"/>
    <n v="3785206.2099999995"/>
    <s v="BRL"/>
    <n v="249048.07"/>
    <s v="BRL"/>
    <s v="Content - Platform - Performance, SEO, CRM &amp; Loyalty"/>
    <d v="2026-02-13T00:00:00"/>
    <d v="2025-11-14T00:00:00"/>
    <s v="Inbound - Current Client (DEPRECATED)"/>
    <s v="São Carlos, BR"/>
    <s v="60"/>
    <s v="12"/>
    <x v="0"/>
  </r>
  <r>
    <s v="OPP-10227"/>
    <s v="ACC-1029"/>
    <s v="Zephyr Telecom"/>
    <s v="Ana Silva"/>
    <s v="Zephyr Telecom - Content - Platform - Performance, SEO, CRM &amp; Loyalty - 02/2026"/>
    <s v="Change Order/Upsell"/>
    <x v="0"/>
    <n v="1555491.6"/>
    <s v="BRL"/>
    <n v="1555491.6"/>
    <s v="BRL"/>
    <s v="Content - Platform - Performance, SEO, CRM &amp; Loyalty"/>
    <d v="2026-06-30T00:00:00"/>
    <d v="2026-06-04T00:00:00"/>
    <s v="Existing Client - Account/Growth Activity"/>
    <s v="São Carlos, BR"/>
    <s v="1"/>
    <s v="12"/>
    <x v="0"/>
  </r>
  <r>
    <s v="OPP-10094"/>
    <s v="ACC-1029"/>
    <s v="Zephyr Telecom"/>
    <s v="Ana Silva"/>
    <s v="Zephyr Telecom - DDM - Media - Managed Media (AOR) - 03/2026"/>
    <s v="Change Order/Upsell"/>
    <x v="2"/>
    <n v="297244.79999999999"/>
    <s v="BRL"/>
    <n v="297244.79999999999"/>
    <s v="BRL"/>
    <s v="Content - Platform - Performance, SEO, CRM &amp; Loyalty"/>
    <d v="2026-03-24T00:00:00"/>
    <d v="2026-01-15T00:00:00"/>
    <s v="Inbound - Current Client (DEPRECATED)"/>
    <s v="São Carlos, BR"/>
    <s v="21"/>
    <s v="12"/>
    <x v="0"/>
  </r>
  <r>
    <s v="OPP-10099"/>
    <s v="ACC-1112"/>
    <s v="Company 111"/>
    <s v="Xavier Correia"/>
    <s v="Company 111 - Content - Platform - Service &amp; Maintenance - 02/2026"/>
    <s v="Project - Competitive"/>
    <x v="2"/>
    <n v="4293965.2399999993"/>
    <s v="BRL"/>
    <n v="375767.72"/>
    <s v="BRL"/>
    <s v="Content - Platform - Service &amp; Maintenance"/>
    <d v="2026-02-27T00:00:00"/>
    <d v="2026-01-20T00:00:00"/>
    <s v="Referral - S4 Company"/>
    <s v="São Carlos, BR"/>
    <s v="46"/>
    <s v="12"/>
    <x v="2"/>
  </r>
  <r>
    <s v="OPP-10029"/>
    <s v="ACC-1022"/>
    <s v="Ember Hospitality"/>
    <s v="Sofia Guimaraes"/>
    <s v="Ember Hospitality - Content - Platform - Service &amp; Maintenance - 04/2026"/>
    <s v="Change Order/Upsell"/>
    <x v="2"/>
    <n v="1653085.7999999998"/>
    <s v="BRL"/>
    <n v="561203.64"/>
    <s v="BRL"/>
    <s v="Content - Platform - Service &amp; Maintenance"/>
    <d v="2026-04-13T00:00:00"/>
    <d v="2025-10-24T00:00:00"/>
    <s v="Inbound - Current Client (DEPRECATED)"/>
    <s v="São Carlos, BR"/>
    <s v="1"/>
    <s v="10"/>
    <x v="0"/>
  </r>
  <r>
    <s v="OPP-10169"/>
    <s v="ACC-1017"/>
    <s v="Quince Travel"/>
    <s v="Pedro Martins"/>
    <s v="Quince Travel - Content - Platform - Service &amp; Maintenance - 04/2026"/>
    <s v="Flex/Renewal"/>
    <x v="0"/>
    <n v="2510326.92"/>
    <s v="BRL"/>
    <n v="340710.12"/>
    <s v="BRL"/>
    <s v="Content - Platform - Service &amp; Maintenance"/>
    <d v="2026-04-30T00:00:00"/>
    <d v="2026-06-03T00:00:00"/>
    <s v="Inbound - Current Client (DEPRECATED)"/>
    <s v="São Carlos, BR"/>
    <s v="39"/>
    <s v="12"/>
    <x v="0"/>
  </r>
  <r>
    <s v="OPP-10193"/>
    <s v="ACC-1122"/>
    <s v="Company 121"/>
    <s v="Joao Pereira"/>
    <s v="Company 121 - DDM - Media - Managed Media (AOR) - 05/2026"/>
    <s v="Project - Competitive"/>
    <x v="1"/>
    <n v="260468.47999999998"/>
    <s v="BRL"/>
    <n v="128427.48"/>
    <s v="BRL"/>
    <s v="Content - Platform - Website Creation &amp; Production"/>
    <d v="2026-04-05T00:00:00"/>
    <d v="2026-03-23T00:00:00"/>
    <s v="Referral - Internal"/>
    <s v="São Carlos, BR"/>
    <s v="18"/>
    <s v="12"/>
    <x v="2"/>
  </r>
  <r>
    <s v="OPP-10193"/>
    <s v="ACC-1122"/>
    <s v="Company 121"/>
    <s v="Joao Pereira"/>
    <s v="Company 121 - DDM - Data - Services &amp; Tech - Services (Analytics &amp; Support) - 05/2026"/>
    <s v="Project - Competitive"/>
    <x v="1"/>
    <n v="260468.47999999998"/>
    <s v="BRL"/>
    <n v="132041"/>
    <s v="BRL"/>
    <s v="Content - Platform - Website Creation &amp; Production"/>
    <d v="2026-04-05T00:00:00"/>
    <d v="2026-03-23T00:00:00"/>
    <s v="Referral - Internal"/>
    <s v="São Carlos, BR"/>
    <s v="18"/>
    <s v="12"/>
    <x v="2"/>
  </r>
  <r>
    <s v="OPP-10158"/>
    <s v="ACC-1098"/>
    <s v="Delta Streaming"/>
    <s v="Karina Oliveira"/>
    <s v="Delta Streaming - Content - Platform - Website Creation &amp; Production - 04/2026"/>
    <s v="Change Order/Upsell"/>
    <x v="1"/>
    <n v="322882"/>
    <s v="BRL"/>
    <n v="322882"/>
    <s v="BRL"/>
    <s v="Content - Platform - Website Creation &amp; Production"/>
    <d v="2026-04-27T00:00:00"/>
    <d v="2026-02-03T00:00:00"/>
    <s v="Inbound - Current Client (DEPRECATED)"/>
    <s v="São Carlos, BR"/>
    <s v="36"/>
    <s v="5"/>
    <x v="0"/>
  </r>
  <r>
    <s v="OPP-10071"/>
    <s v="ACC-1050"/>
    <s v="Dune Ecommerce"/>
    <s v="Queila Ribeiro"/>
    <s v="Dune Ecommerce - Content - Platform - Website Creation &amp; Production - 03/2026"/>
    <s v="Change Order/Upsell"/>
    <x v="2"/>
    <n v="1818447"/>
    <s v="BRL"/>
    <n v="1472367.11"/>
    <s v="BRL"/>
    <s v="Content - Platform - Website Creation &amp; Production"/>
    <d v="2026-03-24T00:00:00"/>
    <d v="2025-12-15T00:00:00"/>
    <s v="Inbound - Current Client (DEPRECATED)"/>
    <s v="São Carlos, BR"/>
    <s v="21"/>
    <s v="8"/>
    <x v="0"/>
  </r>
  <r>
    <s v="OPP-10183"/>
    <s v="ACC-1050"/>
    <s v="Dune Ecommerce"/>
    <s v="Queila Ribeiro"/>
    <s v="Dune Ecommerce - Content - Platform - Performance, SEO, CRM &amp; Loyalty - 04/2026"/>
    <s v="Change Order/Upsell"/>
    <x v="3"/>
    <n v="296000"/>
    <s v="BRL"/>
    <n v="110000"/>
    <s v="BRL"/>
    <s v="Content - Platform - Website Creation &amp; Production"/>
    <d v="2026-05-31T00:00:00"/>
    <d v="2026-03-14T00:00:00"/>
    <s v="Inbound - Current Client (DEPRECATED)"/>
    <s v="São Carlos, BR"/>
    <s v="13"/>
    <s v="6"/>
    <x v="0"/>
  </r>
  <r>
    <s v="OPP-10079"/>
    <s v="ACC-1050"/>
    <s v="Dune Ecommerce"/>
    <s v="Queila Ribeiro"/>
    <s v="Dune Ecommerce - Content - Platform - Performance, SEO, CRM &amp; Loyalty - 05/2026"/>
    <s v="Change Order/Upsell"/>
    <x v="2"/>
    <n v="108985.08"/>
    <s v="BRL"/>
    <n v="108985.08"/>
    <s v="BRL"/>
    <s v="Content - Platform - Website Creation &amp; Production"/>
    <d v="2026-03-24T00:00:00"/>
    <d v="2025-12-19T00:00:00"/>
    <s v="Inbound - Current Client (DEPRECATED)"/>
    <s v="São Carlos, BR"/>
    <s v="21"/>
    <s v="2"/>
    <x v="0"/>
  </r>
  <r>
    <s v="OPP-10157"/>
    <s v="ACC-1050"/>
    <s v="Dune Ecommerce"/>
    <s v="Queila Ribeiro"/>
    <s v="Dune Ecommerce - DDM - Data - Services &amp; Tech - Services (Analytics &amp; Support) - 05/2026"/>
    <s v="Change Order/Upsell"/>
    <x v="1"/>
    <n v="50000"/>
    <s v="BRL"/>
    <n v="50000"/>
    <s v="BRL"/>
    <s v="Content - Platform - Website Creation &amp; Production"/>
    <d v="2026-05-31T00:00:00"/>
    <d v="2026-02-03T00:00:00"/>
    <s v="Inbound - Current Client (DEPRECATED)"/>
    <s v="São Carlos, BR"/>
    <s v="31"/>
    <s v="1"/>
    <x v="0"/>
  </r>
  <r>
    <s v="OPP-10067"/>
    <s v="ACC-1075"/>
    <s v="Kestrel Logistics"/>
    <s v="Bernardo Castro"/>
    <s v="Kestrel Logistics - Content - Platform - Website Creation &amp; Production - 02/2026"/>
    <s v="Flex/Renewal"/>
    <x v="2"/>
    <n v="940468.92"/>
    <s v="BRL"/>
    <n v="940468.92"/>
    <s v="BRL"/>
    <s v="Content - Platform - Website Creation &amp; Production"/>
    <d v="2026-02-13T00:00:00"/>
    <d v="2025-08-12T00:00:00"/>
    <s v="Inbound - Current Client (DEPRECATED)"/>
    <s v="São Carlos, BR"/>
    <s v="60"/>
    <s v="12"/>
    <x v="0"/>
  </r>
  <r>
    <s v="OPP-10240"/>
    <s v="ACC-1075"/>
    <s v="Kestrel Logistics"/>
    <s v="Bernardo Castro"/>
    <s v="Kestrel Logistics - Content - Platform - Website Creation &amp; Production - 04/2026"/>
    <s v="Change Order/Upsell"/>
    <x v="1"/>
    <n v="571781.5"/>
    <s v="BRL"/>
    <n v="571781.5"/>
    <s v="BRL"/>
    <s v="Content - Platform - Website Creation &amp; Production"/>
    <d v="2026-09-05T00:00:00"/>
    <d v="2026-09-04T00:00:00"/>
    <s v="Existing Client - Account/Growth Activity"/>
    <s v="São Carlos, BR"/>
    <s v="4"/>
    <s v="4"/>
    <x v="0"/>
  </r>
  <r>
    <s v="OPP-10151"/>
    <s v="ACC-1075"/>
    <s v="Kestrel Logistics"/>
    <s v="Bernardo Castro"/>
    <s v="Kestrel Logistics - Content - Platform - Website Creation &amp; Production - 05/2026"/>
    <s v="Change Order/Upsell"/>
    <x v="0"/>
    <n v="420"/>
    <s v="BRL"/>
    <n v="420"/>
    <s v="BRL"/>
    <s v="Content - Platform - Website Creation &amp; Production"/>
    <d v="2026-04-30T00:00:00"/>
    <d v="2026-02-26T00:00:00"/>
    <s v="Inbound - Current Client (DEPRECATED)"/>
    <s v="São Carlos, BR"/>
    <s v="47"/>
    <s v="1"/>
    <x v="0"/>
  </r>
  <r>
    <s v="OPP-10160"/>
    <s v="ACC-1065"/>
    <s v="Larkspur Foods"/>
    <s v="Joao Pereira"/>
    <s v="Larkspur Foods - Content - Platform - Website Creation &amp; Production - 05/2026"/>
    <s v="Project - Competitive"/>
    <x v="1"/>
    <n v="265000"/>
    <s v="BRL"/>
    <n v="57000"/>
    <s v="BRL"/>
    <s v="Content - Platform - Website Creation &amp; Production"/>
    <d v="2026-04-05T00:00:00"/>
    <d v="2026-03-03T00:00:00"/>
    <s v="Referral - Personal"/>
    <s v="São Carlos, BR"/>
    <s v="19"/>
    <s v="12"/>
    <x v="2"/>
  </r>
  <r>
    <s v="OPP-10118"/>
    <s v="ACC-1066"/>
    <s v="Magnolia Retail"/>
    <s v="Carla Mendes"/>
    <s v="Magnolia Retail - Content - Platform - Website Creation &amp; Production - 05/2026"/>
    <s v="Change Order/Upsell"/>
    <x v="1"/>
    <n v="795900.24"/>
    <s v="BRL"/>
    <n v="585047.43999999994"/>
    <s v="BRL"/>
    <s v="Content - Platform - Website Creation &amp; Production"/>
    <d v="2026-05-31T00:00:00"/>
    <d v="2026-04-02T00:00:00"/>
    <s v="Inbound - Current Client (DEPRECATED)"/>
    <s v="São Carlos, BR"/>
    <s v="69"/>
    <s v="3"/>
    <x v="0"/>
  </r>
  <r>
    <s v="OPP-10007"/>
    <s v="ACC-1031"/>
    <s v="Nova Studios"/>
    <s v="Queila Ribeiro"/>
    <s v="Nova Studios - DDM - Media - Creative - 02/2026"/>
    <s v="Change Order/Upsell"/>
    <x v="2"/>
    <n v="490928.88"/>
    <s v="BRL"/>
    <n v="490928.88"/>
    <s v="BRL"/>
    <s v="Content - Platform - Website Creation &amp; Production"/>
    <d v="2026-09-01T00:00:00"/>
    <d v="2025-08-21T00:00:00"/>
    <s v="Inbound - Current Client (DEPRECATED)"/>
    <s v="São Carlos, BR"/>
    <s v="95"/>
    <s v="12"/>
    <x v="0"/>
  </r>
  <r>
    <s v="OPP-10194"/>
    <s v="ACC-1083"/>
    <s v="Umber Design"/>
    <s v="Xavier Correia"/>
    <s v="Umber Design - Content - Platform - Website Creation &amp; Production - 05/2026"/>
    <s v="Project - Not Competitive"/>
    <x v="1"/>
    <n v="500000"/>
    <s v="BRL"/>
    <n v="500000"/>
    <s v="BRL"/>
    <s v="Content - Platform - Website Creation &amp; Production"/>
    <d v="2026-05-31T00:00:00"/>
    <d v="2026-03-23T00:00:00"/>
    <s v="Marketing - Lead Scoring/Nurturing"/>
    <s v="São Carlos, BR"/>
    <s v="13"/>
    <s v="12"/>
    <x v="1"/>
  </r>
  <r>
    <s v="OPP-10171"/>
    <s v="ACC-1091"/>
    <s v="Wren Chemicals"/>
    <s v="Karina Oliveira"/>
    <s v="Wren Chemicals - Content - Platform - Website Creation &amp; Production - 06/2026"/>
    <s v="Flex/Renewal"/>
    <x v="0"/>
    <n v="1993383.1199999999"/>
    <s v="BRL"/>
    <n v="401829.72"/>
    <s v="BRL"/>
    <s v="Content - Platform - Website Creation &amp; Production"/>
    <d v="2026-02-06T00:00:00"/>
    <d v="2026-09-03T00:00:00"/>
    <s v="Inbound - Current Client (DEPRECATED)"/>
    <s v="São Carlos, BR"/>
    <s v="15"/>
    <s v="12"/>
    <x v="0"/>
  </r>
  <r>
    <s v="OPP-10207"/>
    <s v="ACC-1043"/>
    <s v="Xanadu Media"/>
    <s v="Bernardo Castro"/>
    <s v="Xanadu Media - Content - Platform - Performance, SEO, CRM &amp; Loyalty - 06/2026"/>
    <s v="Change Order/Upsell"/>
    <x v="1"/>
    <n v="838800"/>
    <s v="BRL"/>
    <n v="144000"/>
    <s v="BRL"/>
    <s v="Content - Platform - Website Creation &amp; Production"/>
    <d v="2026-06-30T00:00:00"/>
    <d v="2026-03-30T00:00:00"/>
    <s v="Prospecting - Current Client (DEPRECATED)"/>
    <s v="Votorantim, BR"/>
    <s v="5"/>
    <s v="12"/>
    <x v="0"/>
  </r>
  <r>
    <s v="OPP-10096"/>
    <s v="ACC-1037"/>
    <s v="Acacia Telecom"/>
    <s v="Bruno Costa"/>
    <s v="Acacia Telecom - Content - Platform - Performance, SEO, CRM &amp; Loyalty - 04/2026"/>
    <s v="Change Order/Upsell"/>
    <x v="2"/>
    <n v="30051.61"/>
    <s v="BRL"/>
    <n v="30051.61"/>
    <s v="BRL"/>
    <s v="Content - Social - AOR"/>
    <d v="2026-03-26T00:00:00"/>
    <d v="2026-01-15T00:00:00"/>
    <s v="Inbound - Current Client (DEPRECATED)"/>
    <s v="São Carlos, BR"/>
    <s v="19"/>
    <s v="1"/>
    <x v="0"/>
  </r>
  <r>
    <s v="OPP-10132"/>
    <s v="ACC-1078"/>
    <s v="Aurora Retail"/>
    <s v="Amanda Rios"/>
    <s v="Aurora Retail - Content - Social - AOR - 05/2026"/>
    <s v="Change Order/Upsell"/>
    <x v="1"/>
    <n v="800000"/>
    <s v="BRL"/>
    <n v="800000"/>
    <s v="BRL"/>
    <s v="Content - Social - AOR"/>
    <d v="2026-05-31T00:00:00"/>
    <d v="2026-12-02T00:00:00"/>
    <s v="Inbound - Current Client (DEPRECATED)"/>
    <s v="Votorantim, BR"/>
    <s v="12"/>
    <s v="12"/>
    <x v="0"/>
  </r>
  <r>
    <s v="OPP-10027"/>
    <s v="ACC-1109"/>
    <s v="Bluefin Logistics"/>
    <s v="Lucas Almeida"/>
    <s v="Bluefin Logistics - Content - Social - AOR - 06/2026"/>
    <s v="Retainer"/>
    <x v="1"/>
    <n v="36000"/>
    <s v="BRL"/>
    <n v="12000"/>
    <s v="BRL"/>
    <s v="Content - Social - AOR"/>
    <d v="2026-06-29T00:00:00"/>
    <d v="2025-10-20T00:00:00"/>
    <s v="Inbound - Website - Media.Monks (DEPRECATED)"/>
    <s v="São Carlos, BR"/>
    <s v="76"/>
    <s v="12"/>
    <x v="3"/>
  </r>
  <r>
    <s v="OPP-10110"/>
    <s v="ACC-1062"/>
    <s v="Cedar Foods"/>
    <s v="Daniel Moura"/>
    <s v="Cedar Foods - Content - Social - AOR - 06/2026"/>
    <s v="Change Order/Upsell"/>
    <x v="1"/>
    <n v="4565828.57"/>
    <s v="BRL"/>
    <n v="578334.1"/>
    <s v="BRL"/>
    <s v="Content - Social - AOR"/>
    <d v="2026-06-30T00:00:00"/>
    <d v="2026-01-26T00:00:00"/>
    <s v="Inbound - Current Client (DEPRECATED)"/>
    <s v="Votorantim, BR"/>
    <s v="33"/>
    <s v="12"/>
    <x v="0"/>
  </r>
  <r>
    <s v="OPP-10111"/>
    <s v="ACC-1107"/>
    <s v="Cobalt SaaS"/>
    <s v="Xavier Correia"/>
    <s v="Cobalt SaaS - Content - Social - AOR - 01/2026"/>
    <s v="Project - Not Competitive"/>
    <x v="2"/>
    <n v="90000"/>
    <s v="BRL"/>
    <n v="90000"/>
    <s v="BRL"/>
    <s v="Content - Social - AOR"/>
    <d v="2026-01-27T00:00:00"/>
    <d v="2026-01-26T00:00:00"/>
    <s v="Inbound - Current Client (DEPRECATED)"/>
    <s v="Votorantim, BR"/>
    <s v="77"/>
    <s v="6"/>
    <x v="0"/>
  </r>
  <r>
    <s v="OPP-10255"/>
    <s v="ACC-1128"/>
    <s v="Company 127"/>
    <s v="Felipe Lima"/>
    <s v="Company 127 - Content - Social - AOR - 05/2026"/>
    <s v="Project - Competitive"/>
    <x v="5"/>
    <n v="0"/>
    <s v="BRL"/>
    <n v="0"/>
    <s v="BRL"/>
    <s v="Content - Social - AOR"/>
    <d v="2026-05-13T00:00:00"/>
    <d v="2026-04-13T00:00:00"/>
    <s v="Referral - Internal"/>
    <s v="São Carlos, BR"/>
    <s v="1"/>
    <m/>
    <x v="2"/>
  </r>
  <r>
    <s v="OPP-10066"/>
    <s v="ACC-1049"/>
    <s v="Hazel Construction"/>
    <s v="Bernardo Castro"/>
    <s v="Hazel Construction - DDM - Media - Creative - 02/2026"/>
    <s v="Flex/Renewal"/>
    <x v="2"/>
    <n v="1546078.56"/>
    <s v="BRL"/>
    <n v="1229366.3999999999"/>
    <s v="BRL"/>
    <s v="Content - Social - AOR"/>
    <d v="2026-12-03T00:00:00"/>
    <d v="2025-08-12T00:00:00"/>
    <s v="Inbound - Current Client (DEPRECATED)"/>
    <s v="São Carlos, BR"/>
    <s v="33"/>
    <s v="12"/>
    <x v="0"/>
  </r>
  <r>
    <s v="OPP-10046"/>
    <s v="ACC-1049"/>
    <s v="Hazel Construction"/>
    <s v="Bernardo Castro"/>
    <s v="Hazel Construction - DDM - Media - Managed Media (AOR) - 02/2026"/>
    <s v="Change Order/Upsell"/>
    <x v="2"/>
    <n v="604944.24"/>
    <s v="BRL"/>
    <n v="307704.36"/>
    <s v="BRL"/>
    <s v="Content - Social - AOR"/>
    <d v="2026-02-25T00:00:00"/>
    <d v="2025-11-17T00:00:00"/>
    <s v="Inbound - Current Client (DEPRECATED)"/>
    <s v="São Carlos, BR"/>
    <s v="48"/>
    <s v="12"/>
    <x v="0"/>
  </r>
  <r>
    <s v="OPP-10120"/>
    <s v="ACC-1049"/>
    <s v="Hazel Construction"/>
    <s v="Bernardo Castro"/>
    <s v="Hazel Construction - Content - Social - AOR - 03/2026"/>
    <s v="Change Order/Upsell"/>
    <x v="2"/>
    <n v="58838.400000000001"/>
    <s v="BRL"/>
    <n v="58838.400000000001"/>
    <s v="BRL"/>
    <s v="Content - Social - AOR"/>
    <d v="2026-03-26T00:00:00"/>
    <d v="2026-04-02T00:00:00"/>
    <s v="Inbound - Current Client (DEPRECATED)"/>
    <s v="São Carlos, BR"/>
    <s v="19"/>
    <s v="12"/>
    <x v="0"/>
  </r>
  <r>
    <s v="OPP-10212"/>
    <s v="ACC-1049"/>
    <s v="Hazel Construction"/>
    <s v="Bernardo Castro"/>
    <s v="Hazel Construction - Content - Social - AOR - 03/2026"/>
    <s v="Change Order/Upsell"/>
    <x v="3"/>
    <n v="54000"/>
    <s v="BRL"/>
    <n v="54000"/>
    <s v="BRL"/>
    <s v="Content - Social - AOR"/>
    <d v="2026-05-31T00:00:00"/>
    <d v="2026-03-30T00:00:00"/>
    <s v="Inbound - Current Client (DEPRECATED)"/>
    <s v="São Carlos, BR"/>
    <s v="15"/>
    <s v="3"/>
    <x v="0"/>
  </r>
  <r>
    <s v="OPP-10113"/>
    <s v="ACC-1049"/>
    <s v="Hazel Construction"/>
    <s v="Bernardo Castro"/>
    <s v="Hazel Construction - Content - Social - AOR - 03/2026"/>
    <s v="Change Order/Upsell"/>
    <x v="2"/>
    <n v="29205.38"/>
    <s v="BRL"/>
    <n v="29205.38"/>
    <s v="BRL"/>
    <s v="Content - Social - AOR"/>
    <d v="2026-12-03T00:00:00"/>
    <d v="2026-01-29T00:00:00"/>
    <s v="Inbound - Current Client (DEPRECATED)"/>
    <s v="São Carlos, BR"/>
    <s v="33"/>
    <s v="1"/>
    <x v="0"/>
  </r>
  <r>
    <s v="OPP-10034"/>
    <s v="ACC-1049"/>
    <s v="Hazel Construction"/>
    <s v="Bernardo Castro"/>
    <s v="Hazel Construction - DDM - Media - Managed Media (AOR) - 04/2026"/>
    <s v="Change Order/Upsell"/>
    <x v="2"/>
    <n v="21044.400000000001"/>
    <s v="BRL"/>
    <n v="21044.400000000001"/>
    <s v="BRL"/>
    <s v="Content - Social - AOR"/>
    <d v="2026-01-22T00:00:00"/>
    <d v="2025-10-30T00:00:00"/>
    <s v="Inbound - Current Client (DEPRECATED)"/>
    <s v="São Carlos, BR"/>
    <s v="82"/>
    <s v="1"/>
    <x v="0"/>
  </r>
  <r>
    <s v="OPP-10221"/>
    <s v="ACC-1069"/>
    <s v="Honeysuckle Travel"/>
    <s v="Bruno Costa"/>
    <s v="Honeysuckle Travel - Content - Social - AOR - 05/2026"/>
    <s v="Change Order/Upsell"/>
    <x v="4"/>
    <n v="120000"/>
    <s v="BRL"/>
    <n v="120000"/>
    <s v="BRL"/>
    <s v="Content - Social - AOR"/>
    <d v="2026-05-31T00:00:00"/>
    <d v="2026-02-04T00:00:00"/>
    <s v="Inbound - Current Client (DEPRECATED)"/>
    <s v="São Carlos, BR"/>
    <s v="12"/>
    <s v="6"/>
    <x v="0"/>
  </r>
  <r>
    <s v="OPP-10109"/>
    <s v="ACC-1080"/>
    <s v="Lavender Publishing"/>
    <s v="Xavier Correia"/>
    <s v="Lavender Publishing - Content - Social - AOR - 04/2026"/>
    <s v="Project - Competitive"/>
    <x v="0"/>
    <n v="360655.14"/>
    <s v="BRL"/>
    <n v="63055.14"/>
    <s v="BRL"/>
    <s v="Content - Social - AOR"/>
    <d v="2026-04-13T00:00:00"/>
    <d v="2026-01-23T00:00:00"/>
    <s v="Prospecting - Current Client (DEPRECATED)"/>
    <s v="Votorantim, BR"/>
    <s v="46"/>
    <s v="12"/>
    <x v="0"/>
  </r>
  <r>
    <s v="OPP-10058"/>
    <s v="ACC-1095"/>
    <s v="Nimbus Media"/>
    <s v="Yasmin Nogueira"/>
    <s v="Nimbus Media - Content - Social - AOR - 05/2026"/>
    <s v="Project - Competitive"/>
    <x v="3"/>
    <n v="2627267.83"/>
    <s v="BRL"/>
    <n v="813135.72"/>
    <s v="BRL"/>
    <s v="Content - Social - AOR"/>
    <d v="2026-11-05T00:00:00"/>
    <d v="2025-01-12T00:00:00"/>
    <s v="Referral - Personal"/>
    <s v="Votorantim, BR"/>
    <s v="54"/>
    <s v="12"/>
    <x v="2"/>
  </r>
  <r>
    <s v="OPP-10001"/>
    <s v="ACC-1031"/>
    <s v="Nova Studios"/>
    <s v="Queila Ribeiro"/>
    <s v="Nova Studios - Content - Social - AOR - 04/2026"/>
    <s v="Change Order/Upsell"/>
    <x v="0"/>
    <n v="3043949.95"/>
    <s v="BRL"/>
    <n v="1475924.6"/>
    <s v="BRL"/>
    <s v="Content - Social - AOR"/>
    <d v="2026-04-30T00:00:00"/>
    <d v="2025-05-19T00:00:00"/>
    <s v="Inbound - Current Client (DEPRECATED)"/>
    <s v="São Carlos, BR"/>
    <s v="130"/>
    <s v="12"/>
    <x v="0"/>
  </r>
  <r>
    <s v="OPP-10203"/>
    <s v="ACC-1033"/>
    <s v="Onyx Utilities"/>
    <s v="Amanda Rios"/>
    <s v="Onyx Utilities - Content - Social - AOR - 05/2026"/>
    <s v="Change Order/Upsell"/>
    <x v="3"/>
    <n v="48076.800000000003"/>
    <s v="BRL"/>
    <n v="48076.800000000003"/>
    <s v="BRL"/>
    <s v="Content - Social - AOR"/>
    <d v="2026-05-31T00:00:00"/>
    <d v="2026-03-26T00:00:00"/>
    <s v="Inbound - Current Client (DEPRECATED)"/>
    <s v="Votorantim, BR"/>
    <s v="19"/>
    <s v="12"/>
    <x v="0"/>
  </r>
  <r>
    <s v="OPP-10124"/>
    <s v="ACC-1040"/>
    <s v="Quartz Pharma"/>
    <s v="Sofia Guimaraes"/>
    <s v="Quartz Pharma - DDM - Media - Creative - 06/2026"/>
    <s v="Change Order/Upsell"/>
    <x v="4"/>
    <n v="845252.85"/>
    <s v="BRL"/>
    <n v="120707.71"/>
    <s v="BRL"/>
    <s v="Content - Social - AOR"/>
    <d v="2026-06-30T00:00:00"/>
    <d v="2026-06-02T00:00:00"/>
    <s v="Inbound - Current Client (DEPRECATED)"/>
    <s v="São Carlos, BR"/>
    <s v="36"/>
    <s v="12"/>
    <x v="0"/>
  </r>
  <r>
    <s v="OPP-10100"/>
    <s v="ACC-1024"/>
    <s v="Topaz Publishing"/>
    <s v="Carla Mendes"/>
    <s v="Topaz Publishing - Content - Social - AOR - 04/2026"/>
    <s v="Change Order/Upsell"/>
    <x v="2"/>
    <n v="17899"/>
    <s v="BRL"/>
    <n v="17899"/>
    <s v="BRL"/>
    <s v="Content - Social - AOR"/>
    <d v="2026-01-04T00:00:00"/>
    <d v="2026-01-21T00:00:00"/>
    <s v="Inbound - Current Client (DEPRECATED)"/>
    <s v="São Carlos, BR"/>
    <s v="13"/>
    <s v="1"/>
    <x v="0"/>
  </r>
  <r>
    <s v="OPP-10065"/>
    <s v="ACC-1092"/>
    <s v="Umbra Gaming"/>
    <s v="Joao Pereira"/>
    <s v="Umbra Gaming - Content - Social - AOR - 01/2026"/>
    <s v="Project - Competitive"/>
    <x v="2"/>
    <n v="300000"/>
    <s v="BRL"/>
    <n v="300000"/>
    <s v="BRL"/>
    <s v="Content - Social - AOR"/>
    <d v="2026-12-01T00:00:00"/>
    <d v="2025-08-12T00:00:00"/>
    <s v="Referral - Personal "/>
    <s v="Votorantim, BR"/>
    <s v="90"/>
    <s v="12"/>
    <x v="2"/>
  </r>
  <r>
    <s v="OPP-10159"/>
    <s v="ACC-1111"/>
    <s v="Walnut Manufacturing"/>
    <s v="Wanda Borges"/>
    <s v="Walnut Manufacturing - Content - Social - AOR - 05/2026"/>
    <s v="Project - Competitive"/>
    <x v="1"/>
    <n v="2133050.04"/>
    <s v="BRL"/>
    <n v="768956.4"/>
    <s v="BRL"/>
    <s v="Content - Social - AOR"/>
    <d v="2026-05-29T00:00:00"/>
    <d v="2026-03-03T00:00:00"/>
    <s v="Inbound - Website - Media.Monks (DEPRECATED)"/>
    <s v="Votorantim, BR"/>
    <s v="15"/>
    <s v="12"/>
    <x v="3"/>
  </r>
  <r>
    <s v="OPP-10045"/>
    <s v="ACC-1029"/>
    <s v="Zephyr Telecom"/>
    <s v="Ana Silva"/>
    <s v="Zephyr Telecom - DDM - Data - Services &amp; Tech - Services (Analytics &amp; Support) - 02/2026"/>
    <s v="Flex/Renewal"/>
    <x v="2"/>
    <n v="3785206.2099999995"/>
    <s v="BRL"/>
    <n v="598144.80000000005"/>
    <s v="BRL"/>
    <s v="Content - Social - Project"/>
    <d v="2026-02-13T00:00:00"/>
    <d v="2025-11-14T00:00:00"/>
    <s v="Inbound - Current Client (DEPRECATED)"/>
    <s v="São Carlos, BR"/>
    <s v="60"/>
    <s v="12"/>
    <x v="0"/>
  </r>
  <r>
    <s v="OPP-10234"/>
    <s v="ACC-1029"/>
    <s v="Zephyr Telecom"/>
    <s v="Ana Silva"/>
    <s v="Zephyr Telecom - DDM - Media - Managed Media (AOR) - 01/2026"/>
    <s v="Change Order/Upsell"/>
    <x v="1"/>
    <n v="414939.84"/>
    <s v="BRL"/>
    <n v="414939.84"/>
    <s v="BRL"/>
    <s v="Content - Social - Project"/>
    <d v="2026-07-31T00:00:00"/>
    <d v="2026-09-04T00:00:00"/>
    <s v="MH Lead (DEPRECATED)"/>
    <s v="São Carlos, BR"/>
    <s v="1"/>
    <s v="12"/>
    <x v="1"/>
  </r>
  <r>
    <s v="OPP-10223"/>
    <s v="ACC-1052"/>
    <s v="Gravel Manufacturing"/>
    <s v="Karina Oliveira"/>
    <s v="Gravel Manufacturing - DDM - Commerce - Content - 06/2026"/>
    <s v="Change Order/Upsell"/>
    <x v="1"/>
    <n v="477489.48"/>
    <s v="BRL"/>
    <n v="477489.48"/>
    <s v="BRL"/>
    <s v="DDM - Commerce - Content"/>
    <d v="2026-06-30T00:00:00"/>
    <d v="2026-02-04T00:00:00"/>
    <s v="MH Lead (DEPRECATED)"/>
    <s v="São Carlos, BR"/>
    <s v="4"/>
    <s v="12"/>
    <x v="1"/>
  </r>
  <r>
    <s v="OPP-10036"/>
    <s v="ACC-1004"/>
    <s v="Harbor Grocers"/>
    <s v="Carla Mendes"/>
    <s v="Harbor Grocers - DDM - Commerce - Content - 01/2026"/>
    <s v="Flex/Renewal"/>
    <x v="2"/>
    <n v="1038355.7999999999"/>
    <s v="BRL"/>
    <n v="196152.12"/>
    <s v="BRL"/>
    <s v="DDM - Commerce - Content"/>
    <d v="2026-01-14T00:00:00"/>
    <d v="2025-06-11T00:00:00"/>
    <s v="Inbound - Current Client (DEPRECATED)"/>
    <s v="São Carlos, BR"/>
    <s v="90"/>
    <s v="12"/>
    <x v="0"/>
  </r>
  <r>
    <s v="OPP-10061"/>
    <s v="ACC-1004"/>
    <s v="Harbor Grocers"/>
    <s v="Carla Mendes"/>
    <s v="Harbor Grocers - DDM - Commerce - Content - 01/2026"/>
    <s v="Change Order/Upsell"/>
    <x v="2"/>
    <n v="358921.88"/>
    <s v="BRL"/>
    <n v="197384.28"/>
    <s v="BRL"/>
    <s v="DDM - Commerce - Content"/>
    <d v="2026-01-14T00:00:00"/>
    <d v="2025-04-12T00:00:00"/>
    <s v="Inbound - Current Client (DEPRECATED) "/>
    <s v="São Carlos, BR"/>
    <s v="90"/>
    <s v="12"/>
    <x v="0"/>
  </r>
  <r>
    <s v="OPP-10084"/>
    <s v="ACC-1004"/>
    <s v="Harbor Grocers"/>
    <s v="Carla Mendes"/>
    <s v="Harbor Grocers - DDM - Media - Managed Media (AOR) - 01/2026"/>
    <s v="Change Order/Upsell"/>
    <x v="2"/>
    <n v="45500"/>
    <s v="BRL"/>
    <n v="27900"/>
    <s v="BRL"/>
    <s v="DDM - Commerce - Content"/>
    <d v="2026-01-14T00:00:00"/>
    <d v="2025-12-23T00:00:00"/>
    <s v="Inbound - Current Client (DEPRECATED)"/>
    <s v="São Carlos, BR"/>
    <s v="90"/>
    <s v="2"/>
    <x v="0"/>
  </r>
  <r>
    <s v="OPP-10187"/>
    <s v="ACC-1004"/>
    <s v="Harbor Grocers"/>
    <s v="Carla Mendes"/>
    <s v="Harbor Grocers - DDM - Media - Creative - 04/2026"/>
    <s v="Change Order/Upsell"/>
    <x v="2"/>
    <n v="45500"/>
    <s v="BRL"/>
    <n v="27900"/>
    <s v="BRL"/>
    <s v="DDM - Commerce - Content"/>
    <d v="2026-08-04T00:00:00"/>
    <d v="2026-03-19T00:00:00"/>
    <s v="Inbound - Current Client (DEPRECATED)"/>
    <s v="São Carlos, BR"/>
    <s v="6"/>
    <s v="2"/>
    <x v="0"/>
  </r>
  <r>
    <s v="OPP-10168"/>
    <s v="ACC-1069"/>
    <s v="Honeysuckle Travel"/>
    <s v="Bruno Costa"/>
    <s v="Honeysuckle Travel - DDM - Commerce - Content - 05/2026"/>
    <s v="Flex/Renewal"/>
    <x v="4"/>
    <n v="809225.34"/>
    <s v="BRL"/>
    <n v="117104.22"/>
    <s v="BRL"/>
    <s v="DDM - Commerce - Content"/>
    <d v="2026-05-31T00:00:00"/>
    <d v="2026-06-03T00:00:00"/>
    <s v="Inbound - Current Client (DEPRECATED)"/>
    <s v="São Carlos, BR"/>
    <s v="18"/>
    <s v="6"/>
    <x v="0"/>
  </r>
  <r>
    <s v="OPP-10160"/>
    <s v="ACC-1065"/>
    <s v="Larkspur Foods"/>
    <s v="Joao Pereira"/>
    <s v="Larkspur Foods - DDM - Commerce - Content - 05/2026"/>
    <s v="Project - Competitive"/>
    <x v="1"/>
    <n v="265000"/>
    <s v="BRL"/>
    <n v="204000"/>
    <s v="BRL"/>
    <s v="DDM - Commerce - Content"/>
    <d v="2026-04-05T00:00:00"/>
    <d v="2026-03-03T00:00:00"/>
    <s v="Referral - Personal"/>
    <s v="São Carlos, BR"/>
    <s v="19"/>
    <s v="12"/>
    <x v="2"/>
  </r>
  <r>
    <s v="OPP-10020"/>
    <s v="ACC-1041"/>
    <s v="Linden Foods"/>
    <s v="Amanda Rios"/>
    <s v="Linden Foods - DDM - Commerce - Content - 07/2026"/>
    <s v="Change Order/Upsell"/>
    <x v="3"/>
    <n v="366989.64"/>
    <s v="BRL"/>
    <n v="366989.64"/>
    <s v="BRL"/>
    <s v="DDM - Commerce - Content"/>
    <d v="2026-07-31T00:00:00"/>
    <d v="2025-02-10T00:00:00"/>
    <s v="Inbound - Current Client (DEPRECATED)"/>
    <s v="São Carlos, BR"/>
    <s v="26"/>
    <s v="12"/>
    <x v="0"/>
  </r>
  <r>
    <s v="OPP-10144"/>
    <s v="ACC-1041"/>
    <s v="Linden Foods"/>
    <s v="Amanda Rios"/>
    <s v="Linden Foods - DDM - Commerce - Content - 05/2026"/>
    <s v="Flex/Renewal"/>
    <x v="3"/>
    <n v="1926466.8"/>
    <s v="BRL"/>
    <n v="1332880.08"/>
    <s v="BRL"/>
    <s v="DDM - Commerce - Content"/>
    <d v="2026-05-31T00:00:00"/>
    <d v="2026-02-20T00:00:00"/>
    <s v="Inbound - Current Client (DEPRECATED)"/>
    <s v="São Carlos, BR"/>
    <s v="26"/>
    <s v="12"/>
    <x v="0"/>
  </r>
  <r>
    <s v="OPP-10118"/>
    <s v="ACC-1066"/>
    <s v="Magnolia Retail"/>
    <s v="Carla Mendes"/>
    <s v="Magnolia Retail - DDM - Commerce - Content - 05/2026"/>
    <s v="Change Order/Upsell"/>
    <x v="1"/>
    <n v="795900.24"/>
    <s v="BRL"/>
    <n v="165852.79999999999"/>
    <s v="BRL"/>
    <s v="DDM - Commerce - Content"/>
    <d v="2026-05-31T00:00:00"/>
    <d v="2026-04-02T00:00:00"/>
    <s v="Inbound - Current Client (DEPRECATED)"/>
    <s v="São Carlos, BR"/>
    <s v="69"/>
    <s v="3"/>
    <x v="0"/>
  </r>
  <r>
    <s v="OPP-10195"/>
    <s v="ACC-1066"/>
    <s v="Magnolia Retail"/>
    <s v="Carla Mendes"/>
    <s v="Magnolia Retail - DDM - Commerce - Content - 04/2026"/>
    <s v="Change Order/Upsell"/>
    <x v="3"/>
    <n v="308940"/>
    <s v="BRL"/>
    <n v="308940"/>
    <s v="BRL"/>
    <s v="DDM - Commerce - Content"/>
    <d v="2026-04-30T00:00:00"/>
    <d v="2026-03-23T00:00:00"/>
    <s v="Inbound - Current Client (DEPRECATED)"/>
    <s v="São Carlos, BR"/>
    <s v="13"/>
    <s v="12"/>
    <x v="0"/>
  </r>
  <r>
    <s v="OPP-10058"/>
    <s v="ACC-1095"/>
    <s v="Nimbus Media"/>
    <s v="Yasmin Nogueira"/>
    <s v="Nimbus Media - DDM - Commerce - Content - 05/2026"/>
    <s v="Project - Competitive"/>
    <x v="3"/>
    <n v="2627267.83"/>
    <s v="BRL"/>
    <n v="239159.76"/>
    <s v="BRL"/>
    <s v="DDM - Commerce - Content"/>
    <d v="2026-11-05T00:00:00"/>
    <d v="2025-01-12T00:00:00"/>
    <s v="Referral - Personal"/>
    <s v="Votorantim, BR"/>
    <s v="54"/>
    <s v="12"/>
    <x v="2"/>
  </r>
  <r>
    <s v="OPP-10057"/>
    <s v="ACC-1031"/>
    <s v="Nova Studios"/>
    <s v="Queila Ribeiro"/>
    <s v="Nova Studios - DDM - Data - Services &amp; Tech - Services (Analytics &amp; Support) - 03/2026"/>
    <s v="Change Order/Upsell"/>
    <x v="3"/>
    <n v="3015949.3200000003"/>
    <s v="BRL"/>
    <n v="1130106.3600000001"/>
    <s v="BRL"/>
    <s v="DDM - Commerce - Content"/>
    <d v="2026-07-31T00:00:00"/>
    <d v="2025-01-12T00:00:00"/>
    <s v="Inbound - Current Client (DEPRECATED)"/>
    <s v="São Carlos, BR"/>
    <s v="134"/>
    <s v="12"/>
    <x v="0"/>
  </r>
  <r>
    <s v="OPP-10098"/>
    <s v="ACC-1031"/>
    <s v="Nova Studios"/>
    <s v="Queila Ribeiro"/>
    <s v="Nova Studios - DDM - Media - Managed Media (AOR) - 04/2026"/>
    <s v="Change Order/Upsell"/>
    <x v="0"/>
    <n v="500000"/>
    <s v="BRL"/>
    <n v="500000"/>
    <s v="BRL"/>
    <s v="DDM - Commerce - Content"/>
    <d v="2026-05-31T00:00:00"/>
    <d v="2026-01-19T00:00:00"/>
    <s v="Inbound - Current Client (DEPRECATED)"/>
    <s v="São Carlos, BR"/>
    <s v="29"/>
    <s v="6"/>
    <x v="0"/>
  </r>
  <r>
    <s v="OPP-10217"/>
    <s v="ACC-1056"/>
    <s v="Orion Bank"/>
    <s v="Carla Mendes"/>
    <s v="Orion Bank - DDM - Commerce - Content - 04/2026"/>
    <s v="Change Order/Upsell"/>
    <x v="2"/>
    <n v="8023.37"/>
    <s v="BRL"/>
    <n v="8023.37"/>
    <s v="BRL"/>
    <s v="DDM - Commerce - Content"/>
    <d v="2026-04-13T00:00:00"/>
    <d v="2026-01-04T00:00:00"/>
    <s v="Existing Client - Account/Growth Activity"/>
    <s v="Votorantim, BR"/>
    <s v="1"/>
    <s v="1"/>
    <x v="0"/>
  </r>
  <r>
    <s v="OPP-10169"/>
    <s v="ACC-1017"/>
    <s v="Quince Travel"/>
    <s v="Pedro Martins"/>
    <s v="Quince Travel - DDM - Commerce - Content - 04/2026"/>
    <s v="Flex/Renewal"/>
    <x v="0"/>
    <n v="2510326.92"/>
    <s v="BRL"/>
    <n v="1483449.96"/>
    <s v="BRL"/>
    <s v="DDM - Commerce - Content"/>
    <d v="2026-04-30T00:00:00"/>
    <d v="2026-06-03T00:00:00"/>
    <s v="Inbound - Current Client (DEPRECATED)"/>
    <s v="São Carlos, BR"/>
    <s v="39"/>
    <s v="12"/>
    <x v="0"/>
  </r>
  <r>
    <s v="OPP-10164"/>
    <s v="ACC-1036"/>
    <s v="Rowan Energy"/>
    <s v="Pedro Martins"/>
    <s v="Rowan Energy - DDM - Media - Managed Media (AOR) - 03/2026"/>
    <s v="Change Order/Upsell"/>
    <x v="2"/>
    <n v="274209.96999999997"/>
    <s v="BRL"/>
    <n v="26598.37"/>
    <s v="BRL"/>
    <s v="DDM - Commerce - Content"/>
    <d v="2026-05-03T00:00:00"/>
    <d v="2026-05-03T00:00:00"/>
    <s v="Inbound - Current Client (DEPRECATED)"/>
    <s v="Votorantim, BR"/>
    <s v="40"/>
    <s v="1"/>
    <x v="0"/>
  </r>
  <r>
    <s v="OPP-10213"/>
    <s v="ACC-1006"/>
    <s v="Willow Beauty"/>
    <s v="Bruno Costa"/>
    <s v="Willow Beauty - DDM - Media - Creative - 04/2026"/>
    <s v="Change Order/Upsell"/>
    <x v="0"/>
    <n v="139766.74"/>
    <s v="BRL"/>
    <n v="64706.04"/>
    <s v="BRL"/>
    <s v="DDM - Commerce - Content"/>
    <d v="2026-04-29T00:00:00"/>
    <d v="2026-03-30T00:00:00"/>
    <s v="Referral - S4 Company"/>
    <s v="Votorantim, BR"/>
    <s v="14"/>
    <s v="1"/>
    <x v="2"/>
  </r>
  <r>
    <s v="OPP-10171"/>
    <s v="ACC-1091"/>
    <s v="Wren Chemicals"/>
    <s v="Karina Oliveira"/>
    <s v="Wren Chemicals - DDM - Commerce - Content - 06/2026"/>
    <s v="Flex/Renewal"/>
    <x v="0"/>
    <n v="1993383.1199999999"/>
    <s v="BRL"/>
    <n v="1271332.8"/>
    <s v="BRL"/>
    <s v="DDM - Commerce - Content"/>
    <d v="2026-02-06T00:00:00"/>
    <d v="2026-09-03T00:00:00"/>
    <s v="Inbound - Current Client (DEPRECATED)"/>
    <s v="São Carlos, BR"/>
    <s v="15"/>
    <s v="12"/>
    <x v="0"/>
  </r>
  <r>
    <s v="OPP-10207"/>
    <s v="ACC-1043"/>
    <s v="Xanadu Media"/>
    <s v="Bernardo Castro"/>
    <s v="Xanadu Media - DDM - Commerce - Content - 04/2026"/>
    <s v="Change Order/Upsell"/>
    <x v="1"/>
    <n v="838800"/>
    <s v="BRL"/>
    <n v="248400"/>
    <s v="BRL"/>
    <s v="DDM - Commerce - Content"/>
    <d v="2026-06-30T00:00:00"/>
    <d v="2026-03-30T00:00:00"/>
    <s v="Prospecting - Current Client (DEPRECATED)"/>
    <s v="Votorantim, BR"/>
    <s v="5"/>
    <s v="12"/>
    <x v="0"/>
  </r>
  <r>
    <s v="OPP-10085"/>
    <s v="ACC-1043"/>
    <s v="Xanadu Media"/>
    <s v="Bernardo Castro"/>
    <s v="Xanadu Media - DDM - Media - Managed Media (AOR) - 06/2026"/>
    <s v="Change Order/Upsell"/>
    <x v="0"/>
    <n v="134323.20000000001"/>
    <s v="BRL"/>
    <n v="134323.20000000001"/>
    <s v="BRL"/>
    <s v="DDM - Commerce - Content"/>
    <d v="2026-04-30T00:00:00"/>
    <d v="2025-12-29T00:00:00"/>
    <s v="Inbound - Current Client (DEPRECATED)"/>
    <s v="Votorantim, BR"/>
    <s v="68"/>
    <s v="12"/>
    <x v="0"/>
  </r>
  <r>
    <s v="OPP-10143"/>
    <s v="ACC-1028"/>
    <s v="Xenon Realty"/>
    <s v="Bernardo Castro"/>
    <s v="Xenon Realty - DDM - Commerce - Content - 05/2026"/>
    <s v="Change Order/Upsell"/>
    <x v="3"/>
    <n v="694094.88"/>
    <s v="BRL"/>
    <n v="292423.2"/>
    <s v="BRL"/>
    <s v="DDM - Commerce - Content"/>
    <d v="2026-05-31T00:00:00"/>
    <d v="2026-02-19T00:00:00"/>
    <s v="Inbound - Current Client (DEPRECATED)"/>
    <s v="Votorantim, BR"/>
    <s v="33"/>
    <s v="12"/>
    <x v="0"/>
  </r>
  <r>
    <s v="OPP-10241"/>
    <s v="ACC-1081"/>
    <s v="Yarrow Health"/>
    <s v="Amanda Rios"/>
    <s v="Yarrow Health - DDM - Commerce - Content - 06/2026"/>
    <s v="Flex/Renewal"/>
    <x v="4"/>
    <n v="695284.8"/>
    <s v="BRL"/>
    <n v="170638.2"/>
    <s v="BRL"/>
    <s v="DDM - Commerce - Content"/>
    <d v="2026-06-30T00:00:00"/>
    <d v="2026-10-04T00:00:00"/>
    <s v="Existing Client - Account/Growth Activity"/>
    <s v="São Carlos, BR"/>
    <s v="4"/>
    <s v="12"/>
    <x v="0"/>
  </r>
  <r>
    <s v="OPP-10051"/>
    <s v="ACC-1044"/>
    <s v="Yerba Studios"/>
    <s v="Carla Mendes"/>
    <s v="Yerba Studios - DDM - Commerce - Content - 01/2026"/>
    <s v="Flex/Renewal"/>
    <x v="2"/>
    <n v="760000"/>
    <s v="BRL"/>
    <n v="131750"/>
    <s v="BRL"/>
    <s v="DDM - Commerce - Content"/>
    <d v="2026-01-27T00:00:00"/>
    <d v="2025-11-26T00:00:00"/>
    <s v="Inbound - Current Client (DEPRECATED)"/>
    <s v="São Carlos, BR"/>
    <s v="77"/>
    <s v="12"/>
    <x v="0"/>
  </r>
  <r>
    <s v="OPP-10076"/>
    <s v="ACC-1044"/>
    <s v="Yerba Studios"/>
    <s v="Carla Mendes"/>
    <s v="Yerba Studios - DDM - Commerce - Content - 01/2026"/>
    <s v="Change Order/Upsell"/>
    <x v="2"/>
    <n v="10784"/>
    <s v="BRL"/>
    <n v="5392"/>
    <s v="BRL"/>
    <s v="DDM - Commerce - Content"/>
    <d v="2026-01-27T00:00:00"/>
    <d v="2025-12-18T00:00:00"/>
    <s v="Inbound - Current Client (DEPRECATED)"/>
    <s v="São Carlos, BR"/>
    <s v="77"/>
    <s v="12"/>
    <x v="0"/>
  </r>
  <r>
    <s v="OPP-10134"/>
    <s v="ACC-1064"/>
    <s v="Arrow Construction"/>
    <s v="Daniel Moura"/>
    <s v="Arrow Construction - DDM - Data - Services &amp; Tech - Services (Data Science/Data Eng.) - 05/2026"/>
    <s v="Change Order/Upsell"/>
    <x v="1"/>
    <n v="1429074.08"/>
    <s v="BRL"/>
    <n v="349188.48"/>
    <s v="BRL"/>
    <s v="DDM - CRM - Other"/>
    <d v="2026-05-29T00:00:00"/>
    <d v="2026-02-13T00:00:00"/>
    <s v="Inbound - Current Client (DEPRECATED)"/>
    <s v="São Carlos, BR"/>
    <s v="33"/>
    <s v="12"/>
    <x v="0"/>
  </r>
  <r>
    <s v="OPP-10099"/>
    <s v="ACC-1112"/>
    <s v="Company 111"/>
    <s v="Xavier Correia"/>
    <s v="Company 111 - DDM - CRM - Other - 02/2026"/>
    <s v="Project - Competitive"/>
    <x v="2"/>
    <n v="4293965.2399999993"/>
    <s v="BRL"/>
    <n v="439216.68"/>
    <s v="BRL"/>
    <s v="DDM - CRM - Other"/>
    <d v="2026-02-27T00:00:00"/>
    <d v="2026-01-20T00:00:00"/>
    <s v="Referral - S4 Company"/>
    <s v="São Carlos, BR"/>
    <s v="46"/>
    <s v="12"/>
    <x v="2"/>
  </r>
  <r>
    <s v="OPP-10091"/>
    <s v="ACC-1084"/>
    <s v="Nigella Security"/>
    <s v="Bruno Costa"/>
    <s v="Nigella Security - DDM - Media - Creative - 02/2026"/>
    <s v="Flex/Renewal"/>
    <x v="2"/>
    <n v="3156666.46"/>
    <s v="BRL"/>
    <n v="660775.92000000004"/>
    <s v="BRL"/>
    <s v="DDM - CRM - Other"/>
    <d v="2026-02-26T00:00:00"/>
    <d v="2026-12-01T00:00:00"/>
    <s v="Inbound - Current Client (DEPRECATED)"/>
    <s v="São Carlos, BR"/>
    <s v="47"/>
    <s v="12"/>
    <x v="0"/>
  </r>
  <r>
    <s v="OPP-10035"/>
    <s v="ACC-1010"/>
    <s v="Juniper Data"/>
    <s v="Lucas Almeida"/>
    <s v="Juniper Data - DDM - CRM - Salesforce Marketing Cloud - 06/2026"/>
    <s v="Project - Competitive"/>
    <x v="3"/>
    <n v="286464"/>
    <s v="BRL"/>
    <n v="250464"/>
    <s v="BRL"/>
    <s v="DDM - CRM - Salesforce Marketing Cloud"/>
    <d v="2026-06-29T00:00:00"/>
    <d v="2025-03-11T00:00:00"/>
    <s v="Industry Event"/>
    <s v="São Carlos, BR"/>
    <s v="134"/>
    <s v="24"/>
    <x v="4"/>
  </r>
  <r>
    <s v="OPP-10031"/>
    <s v="ACC-1070"/>
    <s v="Quinoa Foods"/>
    <s v="Wanda Borges"/>
    <s v="Quinoa Foods - DDM - Data - Services &amp; Tech - Services (Data Science/Data Eng.) - 01/2026"/>
    <s v="Project - Competitive"/>
    <x v="2"/>
    <n v="1014586.08"/>
    <s v="BRL"/>
    <n v="286707.59999999998"/>
    <s v="BRL"/>
    <s v="DDM - CRM - Salesforce Marketing Cloud"/>
    <d v="2026-06-01T00:00:00"/>
    <d v="2025-10-27T00:00:00"/>
    <s v="Prospecting - Current Client (DEPRECATED)"/>
    <s v="São Paulo, BR"/>
    <s v="98"/>
    <s v="6"/>
    <x v="0"/>
  </r>
  <r>
    <s v="OPP-10128"/>
    <s v="ACC-1074"/>
    <s v="Tamarind Bank"/>
    <s v="Wanda Borges"/>
    <s v="Tamarind Bank - DDM - CRM - Salesforce Marketing Cloud - 05/2026"/>
    <s v="Project - Competitive"/>
    <x v="1"/>
    <n v="863424.8"/>
    <s v="BRL"/>
    <n v="487402.9"/>
    <s v="BRL"/>
    <s v="DDM - CRM - Salesforce Marketing Cloud"/>
    <d v="2026-01-05T00:00:00"/>
    <d v="2026-11-02T00:00:00"/>
    <s v="Prospecting - Current Client (DEPRECATED)"/>
    <s v="São Carlos, BR"/>
    <s v="55"/>
    <s v="10"/>
    <x v="0"/>
  </r>
  <r>
    <s v="OPP-10236"/>
    <s v="ACC-1074"/>
    <s v="Tamarind Bank"/>
    <s v="Wanda Borges"/>
    <s v="Tamarind Bank - DDM - CRM - Salesforce Marketing Cloud - 06/2026"/>
    <s v="Project - Not Competitive"/>
    <x v="4"/>
    <n v="265143.84999999998"/>
    <s v="BRL"/>
    <n v="265143.84999999998"/>
    <s v="BRL"/>
    <s v="DDM - CRM - Salesforce Marketing Cloud"/>
    <d v="2026-08-06T00:00:00"/>
    <d v="2026-09-04T00:00:00"/>
    <s v="Referral - Personal"/>
    <s v="São Carlos, BR"/>
    <s v="5"/>
    <s v="5"/>
    <x v="2"/>
  </r>
  <r>
    <s v="OPP-10165"/>
    <s v="ACC-1090"/>
    <s v="Filbert Sports"/>
    <s v="Bruno Costa"/>
    <s v="Filbert Sports - DDM - Data - Automation - 06/2026"/>
    <s v="Change Order/Upsell"/>
    <x v="4"/>
    <n v="120000"/>
    <s v="BRL"/>
    <n v="120000"/>
    <s v="BRL"/>
    <s v="DDM - Data - Automation"/>
    <d v="2026-06-30T00:00:00"/>
    <d v="2026-06-03T00:00:00"/>
    <s v="Inbound - Current Client (DEPRECATED) "/>
    <s v="São Carlos, BR"/>
    <s v="33"/>
    <s v="12"/>
    <x v="0"/>
  </r>
  <r>
    <s v="OPP-10087"/>
    <s v="ACC-1061"/>
    <s v="Nectarine Cosmetics"/>
    <s v="Sofia Guimaraes"/>
    <s v="Nectarine Cosmetics - DDM - Data - Automation - 04/2026"/>
    <s v="Flex/Renewal"/>
    <x v="0"/>
    <n v="120000"/>
    <s v="BRL"/>
    <n v="120000"/>
    <s v="BRL"/>
    <s v="DDM - Data - Automation"/>
    <d v="2026-04-30T00:00:00"/>
    <d v="2026-08-01T00:00:00"/>
    <s v="Inbound - Current Client (DEPRECATED)"/>
    <s v="São Carlos, BR"/>
    <s v="60"/>
    <s v="12"/>
    <x v="0"/>
  </r>
  <r>
    <s v="OPP-10133"/>
    <s v="ACC-1061"/>
    <s v="Nectarine Cosmetics"/>
    <s v="Sofia Guimaraes"/>
    <s v="Nectarine Cosmetics - DDM - Data - Automation - 04/2026"/>
    <s v="Change Order/Upsell"/>
    <x v="0"/>
    <n v="24000"/>
    <s v="BRL"/>
    <n v="24000"/>
    <s v="BRL"/>
    <s v="DDM - Data - Automation"/>
    <d v="2026-04-30T00:00:00"/>
    <d v="2026-12-02T00:00:00"/>
    <s v="Inbound - Current Client (DEPRECATED)"/>
    <s v="São Carlos, BR"/>
    <s v="60"/>
    <s v="12"/>
    <x v="0"/>
  </r>
  <r>
    <s v="OPP-10121"/>
    <s v="ACC-1089"/>
    <s v="Sage Streaming"/>
    <s v="Karina Oliveira"/>
    <s v="Sage Streaming - DDM - Data - Automation - 03/2026"/>
    <s v="Change Order/Upsell"/>
    <x v="2"/>
    <n v="252348"/>
    <s v="BRL"/>
    <n v="252348"/>
    <s v="BRL"/>
    <s v="DDM - Data - Automation"/>
    <d v="2026-03-25T00:00:00"/>
    <d v="2026-05-02T00:00:00"/>
    <s v="Inbound - Current Client (DEPRECATED)"/>
    <s v="São Paulo, BR"/>
    <s v="20"/>
    <s v="12"/>
    <x v="0"/>
  </r>
  <r>
    <s v="OPP-10181"/>
    <s v="ACC-1058"/>
    <s v="Summit Auto"/>
    <s v="Bruno Costa"/>
    <s v="Summit Auto - DDM - Data - Automation - 06/2026"/>
    <s v="Change Order/Upsell"/>
    <x v="4"/>
    <n v="144000"/>
    <s v="BRL"/>
    <n v="144000"/>
    <s v="BRL"/>
    <s v="DDM - Data - Automation"/>
    <d v="2026-06-30T00:00:00"/>
    <d v="2026-03-13T00:00:00"/>
    <s v="Inbound - Current Client (DEPRECATED)"/>
    <s v="São Carlos, BR"/>
    <s v="32"/>
    <s v="12"/>
    <x v="0"/>
  </r>
  <r>
    <s v="OPP-10138"/>
    <s v="ACC-1079"/>
    <s v="Vervain Mobility"/>
    <s v="Nicolas Teixeira"/>
    <s v="Vervain Mobility - DDM - Data - Automation - 05/2026"/>
    <s v="Project - Not Competitive"/>
    <x v="1"/>
    <n v="144000"/>
    <s v="BRL"/>
    <n v="144000"/>
    <s v="BRL"/>
    <s v="DDM - Data - Automation"/>
    <d v="2026-05-29T00:00:00"/>
    <d v="2026-02-13T00:00:00"/>
    <s v="Referral - Personal"/>
    <s v="São Carlos, BR"/>
    <s v="43"/>
    <s v="12"/>
    <x v="2"/>
  </r>
  <r>
    <s v="OPP-10048"/>
    <s v="ACC-1106"/>
    <s v="Yucca Farms"/>
    <s v="Joao Pereira"/>
    <s v="Yucca Farms - DDM - Data - Automation - 03/2026"/>
    <s v="Project - Competitive"/>
    <x v="2"/>
    <n v="195525"/>
    <s v="BRL"/>
    <n v="25500"/>
    <s v="BRL"/>
    <s v="DDM - Data - Automation"/>
    <d v="2026-03-31T00:00:00"/>
    <d v="2025-11-26T00:00:00"/>
    <s v="Referral - Personal"/>
    <s v="Votorantim, BR"/>
    <s v="14"/>
    <s v="3"/>
    <x v="2"/>
  </r>
  <r>
    <s v="OPP-10189"/>
    <s v="ACC-1020"/>
    <s v="Zucchini Logistics"/>
    <s v="Nicolas Teixeira"/>
    <s v="Zucchini Logistics - DDM - Data - Automation - 03/2026"/>
    <s v="Project - Not Competitive"/>
    <x v="2"/>
    <n v="264500"/>
    <s v="BRL"/>
    <n v="264500"/>
    <s v="BRL"/>
    <s v="DDM - Data - Automation"/>
    <d v="2026-03-30T00:00:00"/>
    <d v="2026-03-19T00:00:00"/>
    <s v="Referral - Internal"/>
    <s v="São Carlos, BR"/>
    <s v="15"/>
    <s v="5"/>
    <x v="2"/>
  </r>
  <r>
    <s v="OPP-10184"/>
    <s v="ACC-1121"/>
    <s v="Company 120"/>
    <s v="Lucas Almeida"/>
    <s v="Company 120 - DDM - Data - Consulting - 05/2026"/>
    <s v="Project - Not Competitive"/>
    <x v="6"/>
    <n v="427005.1"/>
    <s v="BRL"/>
    <n v="427005.1"/>
    <s v="BRL"/>
    <s v="DDM - Data - Consulting"/>
    <d v="2026-05-25T00:00:00"/>
    <d v="2026-03-16T00:00:00"/>
    <s v="Referral - Internal"/>
    <s v="São Paulo, BR"/>
    <s v="15"/>
    <s v="8"/>
    <x v="2"/>
  </r>
  <r>
    <s v="OPP-10074"/>
    <s v="ACC-1059"/>
    <s v="Basalt Mining"/>
    <s v="Amanda Rios"/>
    <s v="Basalt Mining - DDM - Data - Services &amp; Tech - Platforms Reselling - 04/2026"/>
    <s v="Flex/Renewal"/>
    <x v="0"/>
    <n v="1545188.16"/>
    <s v="BRL"/>
    <n v="1545188.16"/>
    <s v="BRL"/>
    <s v="DDM - Data - Services &amp; Tech - Platforms Reselling"/>
    <d v="2026-04-30T00:00:00"/>
    <d v="2025-12-18T00:00:00"/>
    <s v="Inbound - Current Client (DEPRECATED)"/>
    <s v="São Paulo, BR"/>
    <s v="35"/>
    <s v="12"/>
    <x v="0"/>
  </r>
  <r>
    <s v="OPP-10129"/>
    <s v="ACC-1113"/>
    <s v="Company 112"/>
    <s v="Diego Rocha"/>
    <s v="Company 112 - DDM - Data - Services &amp; Tech - Platforms Reselling - 02/2026"/>
    <s v="Project - Not Competitive"/>
    <x v="2"/>
    <n v="32400"/>
    <s v="BRL"/>
    <n v="32400"/>
    <s v="BRL"/>
    <s v="DDM - Data - Services &amp; Tech - Platforms Reselling"/>
    <d v="2026-02-24T00:00:00"/>
    <d v="2026-11-02T00:00:00"/>
    <s v="Inbound - Website - Media.Monks (DEPRECATED)"/>
    <s v="São Paulo, BR"/>
    <s v="49"/>
    <s v="12"/>
    <x v="3"/>
  </r>
  <r>
    <s v="OPP-10260"/>
    <s v="ACC-1060"/>
    <s v="Fennel Footwear"/>
    <s v="Pedro Martins"/>
    <s v="Fennel Footwear - DDM - Data - Services &amp; Tech - Platforms Reselling - 05/2026"/>
    <s v="Flex/Renewal"/>
    <x v="0"/>
    <n v="57011.76"/>
    <s v="BRL"/>
    <n v="57011.76"/>
    <s v="BRL"/>
    <s v="DDM - Data - Services &amp; Tech - Platforms Reselling"/>
    <d v="2026-05-14T00:00:00"/>
    <d v="2026-04-14T00:00:00"/>
    <s v="Existing Client - Account/Growth Activity"/>
    <s v="São Paulo, BR"/>
    <s v="0"/>
    <s v="12"/>
    <x v="0"/>
  </r>
  <r>
    <s v="OPP-10229"/>
    <s v="ACC-1051"/>
    <s v="Pyrite Fintech"/>
    <s v="Karina Oliveira"/>
    <s v="Pyrite Fintech - DDM - Data - Services &amp; Tech - Platforms Reselling - 04/2026"/>
    <s v="Flex/Renewal"/>
    <x v="0"/>
    <n v="220278.24"/>
    <s v="BRL"/>
    <n v="220278.24"/>
    <s v="BRL"/>
    <s v="DDM - Data - Services &amp; Tech - Platforms Reselling"/>
    <d v="2026-04-30T00:00:00"/>
    <d v="2026-06-04T00:00:00"/>
    <s v="MH Lead (DEPRECATED)"/>
    <s v="São Paulo, BR"/>
    <s v="8"/>
    <s v="12"/>
    <x v="1"/>
  </r>
  <r>
    <s v="OPP-10251"/>
    <s v="ACC-1097"/>
    <s v="Quince Pharma"/>
    <s v="Joao Pereira"/>
    <s v="Quince Pharma - DDM - Data - Services &amp; Tech - Platforms Reselling - 06/2026"/>
    <s v="Project - Competitive"/>
    <x v="1"/>
    <n v="148800"/>
    <s v="BRL"/>
    <n v="148800"/>
    <s v="BRL"/>
    <s v="DDM - Data - Services &amp; Tech - Platforms Reselling"/>
    <d v="2026-01-06T00:00:00"/>
    <d v="2026-10-04T00:00:00"/>
    <s v="Referral - Personal"/>
    <s v="São Paulo, BR"/>
    <s v="1"/>
    <s v="12"/>
    <x v="2"/>
  </r>
  <r>
    <s v="OPP-10016"/>
    <s v="ACC-1086"/>
    <s v="Sable Footwear"/>
    <s v="Joao Pereira"/>
    <s v="Sable Footwear - DDM - Data - Services &amp; Tech - Platforms Reselling - 02/2026"/>
    <s v="Project - Competitive"/>
    <x v="2"/>
    <n v="732596.04"/>
    <s v="BRL"/>
    <n v="732596.04"/>
    <s v="BRL"/>
    <s v="DDM - Data - Services &amp; Tech - Platforms Reselling"/>
    <d v="2026-02-23T00:00:00"/>
    <d v="2025-09-24T00:00:00"/>
    <s v="Inbound - Website - Media.Monks (DEPRECATED)"/>
    <s v="São Paulo, BR"/>
    <s v="50"/>
    <s v="12"/>
    <x v="3"/>
  </r>
  <r>
    <s v="OPP-10130"/>
    <s v="ACC-1089"/>
    <s v="Sage Streaming"/>
    <s v="Karina Oliveira"/>
    <s v="Sage Streaming - DDM - Data - Services &amp; Tech - Platforms Reselling - 04/2026"/>
    <s v="Change Order/Upsell"/>
    <x v="4"/>
    <n v="68000"/>
    <s v="BRL"/>
    <n v="68000"/>
    <s v="BRL"/>
    <s v="DDM - Data - Services &amp; Tech - Platforms Reselling"/>
    <d v="2026-04-30T00:00:00"/>
    <d v="2026-12-02T00:00:00"/>
    <s v="Inbound - Current Client (DEPRECATED)"/>
    <s v="São Paulo, BR"/>
    <s v="4"/>
    <s v="12"/>
    <x v="0"/>
  </r>
  <r>
    <s v="OPP-10112"/>
    <s v="ACC-1042"/>
    <s v="Wisteria Publishing"/>
    <s v="Amanda Rios"/>
    <s v="Wisteria Publishing - DDM - Data - Services &amp; Tech - Platforms Reselling - 02/2026"/>
    <s v="Flex/Renewal"/>
    <x v="2"/>
    <n v="664386.76"/>
    <s v="BRL"/>
    <n v="664386.76"/>
    <s v="BRL"/>
    <s v="DDM - Data - Services &amp; Tech - Platforms Reselling"/>
    <d v="2026-02-26T00:00:00"/>
    <d v="2026-01-29T00:00:00"/>
    <s v="Inbound - Current Client (DEPRECATED)"/>
    <s v="São Paulo, BR"/>
    <s v="47"/>
    <s v="12"/>
    <x v="0"/>
  </r>
  <r>
    <s v="OPP-10188"/>
    <s v="ACC-1032"/>
    <s v="Zedoary Chemicals"/>
    <s v="Amanda Rios"/>
    <s v="Zedoary Chemicals - DDM - Data - Services &amp; Tech - Platforms Reselling - 05/2026"/>
    <s v="Flex/Renewal"/>
    <x v="1"/>
    <n v="205277.88"/>
    <s v="BRL"/>
    <n v="205277.88"/>
    <s v="BRL"/>
    <s v="DDM - Data - Services &amp; Tech - Platforms Reselling"/>
    <d v="2026-05-31T00:00:00"/>
    <d v="2026-03-19T00:00:00"/>
    <s v="Inbound - Current Client (DEPRECATED)"/>
    <s v="São Paulo, BR"/>
    <s v="4"/>
    <s v="12"/>
    <x v="0"/>
  </r>
  <r>
    <s v="OPP-10150"/>
    <s v="ACC-1037"/>
    <s v="Acacia Telecom"/>
    <s v="Bruno Costa"/>
    <s v="Acacia Telecom - DDM - Media - Creative - 03/2026"/>
    <s v="Change Order/Upsell"/>
    <x v="0"/>
    <n v="601599.48"/>
    <s v="BRL"/>
    <n v="31909.8"/>
    <s v="BRL"/>
    <s v="DDM - Data - Services &amp; Tech - Services (Analytics &amp; Support)"/>
    <d v="2026-04-30T00:00:00"/>
    <d v="2026-02-26T00:00:00"/>
    <s v="Inbound - Current Client (DEPRECATED)"/>
    <s v="São Carlos, BR"/>
    <s v="42"/>
    <s v="12"/>
    <x v="0"/>
  </r>
  <r>
    <s v="OPP-10175"/>
    <s v="ACC-1007"/>
    <s v="Anise Beauty"/>
    <s v="Daniel Moura"/>
    <s v="Anise Beauty - DDM - Data - Services &amp; Tech - Services (Analytics &amp; Support) - 05/2026"/>
    <s v="Change Order/Upsell"/>
    <x v="3"/>
    <n v="1302107.45"/>
    <s v="BRL"/>
    <n v="265621.21000000002"/>
    <s v="BRL"/>
    <s v="DDM - Data - Services &amp; Tech - Services (Analytics &amp; Support)"/>
    <d v="2026-05-31T00:00:00"/>
    <d v="2026-11-03T00:00:00"/>
    <s v="Don't Know/Other (DEPRECATED)"/>
    <s v="Votorantim, BR"/>
    <s v="15"/>
    <s v="12"/>
    <x v="1"/>
  </r>
  <r>
    <s v="OPP-10134"/>
    <s v="ACC-1064"/>
    <s v="Arrow Construction"/>
    <s v="Daniel Moura"/>
    <s v="Arrow Construction - DDM - Media - Managed Media (AOR) - 05/2026"/>
    <s v="Change Order/Upsell"/>
    <x v="1"/>
    <n v="1429074.08"/>
    <s v="BRL"/>
    <n v="451225.8"/>
    <s v="BRL"/>
    <s v="DDM - Data - Services &amp; Tech - Services (Analytics &amp; Support)"/>
    <d v="2026-05-29T00:00:00"/>
    <d v="2026-02-13T00:00:00"/>
    <s v="Inbound - Current Client (DEPRECATED)"/>
    <s v="São Carlos, BR"/>
    <s v="33"/>
    <s v="12"/>
    <x v="0"/>
  </r>
  <r>
    <s v="OPP-10040"/>
    <s v="ACC-1059"/>
    <s v="Basalt Mining"/>
    <s v="Amanda Rios"/>
    <s v="Basalt Mining - DDM - Data - Services &amp; Tech - Services (Analytics &amp; Support) - 01/2026"/>
    <s v="Flex/Renewal"/>
    <x v="2"/>
    <n v="253579.55"/>
    <s v="BRL"/>
    <n v="152442.06"/>
    <s v="BRL"/>
    <s v="DDM - Data - Services &amp; Tech - Services (Analytics &amp; Support)"/>
    <d v="2026-01-31T00:00:00"/>
    <d v="2025-11-14T00:00:00"/>
    <s v="Inbound - Current Client (DEPRECATED)"/>
    <s v="São Carlos, BR"/>
    <s v="69"/>
    <s v="1"/>
    <x v="0"/>
  </r>
  <r>
    <s v="OPP-10090"/>
    <s v="ACC-1059"/>
    <s v="Basalt Mining"/>
    <s v="Amanda Rios"/>
    <s v="Basalt Mining - DDM - Data - Services &amp; Tech - Services (Analytics &amp; Support) - 05/2026"/>
    <s v="Flex/Renewal"/>
    <x v="3"/>
    <n v="2132708.1"/>
    <s v="BRL"/>
    <n v="1829304.72"/>
    <s v="BRL"/>
    <s v="DDM - Data - Services &amp; Tech - Services (Analytics &amp; Support)"/>
    <d v="2026-05-31T00:00:00"/>
    <d v="2026-12-01T00:00:00"/>
    <s v="Inbound - Current Client (DEPRECATED)"/>
    <s v="São Carlos, BR"/>
    <s v="8"/>
    <s v="12"/>
    <x v="0"/>
  </r>
  <r>
    <s v="OPP-10110"/>
    <s v="ACC-1062"/>
    <s v="Cedar Foods"/>
    <s v="Daniel Moura"/>
    <s v="Cedar Foods - DDM - Data - Services &amp; Tech - Services (Analytics &amp; Support) - 06/2026"/>
    <s v="Change Order/Upsell"/>
    <x v="1"/>
    <n v="4565828.57"/>
    <s v="BRL"/>
    <n v="629262.96"/>
    <s v="BRL"/>
    <s v="DDM - Data - Services &amp; Tech - Services (Analytics &amp; Support)"/>
    <d v="2026-06-30T00:00:00"/>
    <d v="2026-01-26T00:00:00"/>
    <s v="Inbound - Current Client (DEPRECATED)"/>
    <s v="Votorantim, BR"/>
    <s v="33"/>
    <s v="12"/>
    <x v="0"/>
  </r>
  <r>
    <s v="OPP-10154"/>
    <s v="ACC-1119"/>
    <s v="Company 118"/>
    <s v="Wanda Borges"/>
    <s v="Company 118 - DDM - Data - Services &amp; Tech - Services (Analytics &amp; Support) - 05/2026"/>
    <s v="Project - Competitive"/>
    <x v="1"/>
    <n v="2344909.7999999998"/>
    <s v="BRL"/>
    <n v="189158.04"/>
    <s v="BRL"/>
    <s v="DDM - Data - Services &amp; Tech - Services (Analytics &amp; Support)"/>
    <d v="2026-05-29T00:00:00"/>
    <d v="2026-02-27T00:00:00"/>
    <s v="Inbound - Website - Media.Monks (DEPRECATED)"/>
    <s v="Votorantim, BR"/>
    <s v="15"/>
    <s v="12"/>
    <x v="3"/>
  </r>
  <r>
    <s v="OPP-10173"/>
    <s v="ACC-1120"/>
    <s v="Company 119"/>
    <s v="Felipe Lima"/>
    <s v="Company 119 - DDM - Data - Services &amp; Tech - Services (Analytics &amp; Support) - 05/2026"/>
    <s v="Project - Competitive"/>
    <x v="1"/>
    <n v="894521"/>
    <s v="BRL"/>
    <n v="43952"/>
    <s v="BRL"/>
    <s v="DDM - Data - Services &amp; Tech - Services (Analytics &amp; Support)"/>
    <d v="2026-04-05T00:00:00"/>
    <d v="2026-11-03T00:00:00"/>
    <s v="Inbound - Website - Media.Monks (DEPRECATED)"/>
    <s v="São Carlos, BR"/>
    <s v="25"/>
    <s v="12"/>
    <x v="3"/>
  </r>
  <r>
    <s v="OPP-10231"/>
    <s v="ACC-1122"/>
    <s v="Company 121"/>
    <s v="Joao Pereira"/>
    <s v="Company 121 - Content - Platform - Website Creation &amp; Production - 05/2026"/>
    <s v="Project - Competitive"/>
    <x v="1"/>
    <n v="374000"/>
    <s v="BRL"/>
    <n v="20000"/>
    <s v="BRL"/>
    <s v="DDM - Data - Services &amp; Tech - Services (Analytics &amp; Support)"/>
    <d v="2026-08-05T00:00:00"/>
    <d v="2026-08-04T00:00:00"/>
    <s v="Referral - Personal"/>
    <s v="São Carlos, BR"/>
    <s v="4"/>
    <s v="12"/>
    <x v="2"/>
  </r>
  <r>
    <s v="OPP-10255"/>
    <s v="ACC-1128"/>
    <s v="Company 127"/>
    <s v="Felipe Lima"/>
    <s v="Company 127 - DDM - Data - Services &amp; Tech - Services (Analytics &amp; Support) - 05/2026"/>
    <s v="Project - Competitive"/>
    <x v="5"/>
    <n v="0"/>
    <s v="BRL"/>
    <n v="0"/>
    <s v="BRL"/>
    <s v="DDM - Data - Services &amp; Tech - Services (Analytics &amp; Support)"/>
    <d v="2026-05-13T00:00:00"/>
    <d v="2026-04-13T00:00:00"/>
    <s v="Referral - Internal"/>
    <s v="São Carlos, BR"/>
    <s v="1"/>
    <m/>
    <x v="2"/>
  </r>
  <r>
    <s v="OPP-10004"/>
    <s v="ACC-1035"/>
    <s v="Copper Air"/>
    <s v="Bernardo Castro"/>
    <s v="Copper Air - DDM - Data - Services &amp; Tech - Services (Analytics &amp; Support) - 01/2026"/>
    <s v="Change Order/Upsell"/>
    <x v="2"/>
    <n v="32226.34"/>
    <s v="BRL"/>
    <n v="32226.34"/>
    <s v="BRL"/>
    <s v="DDM - Data - Services &amp; Tech - Services (Analytics &amp; Support)"/>
    <d v="2026-01-14T00:00:00"/>
    <d v="2025-08-08T00:00:00"/>
    <s v="Inbound - Current Client (DEPRECATED)"/>
    <s v="Votorantim, BR"/>
    <s v="90"/>
    <s v="2"/>
    <x v="0"/>
  </r>
  <r>
    <s v="OPP-10038"/>
    <s v="ACC-1046"/>
    <s v="Cypress Air"/>
    <s v="Wanda Borges"/>
    <s v="Cypress Air - DDM - Data - Services &amp; Tech - Services (Analytics &amp; Support) - 02/2026"/>
    <s v="Project - Competitive"/>
    <x v="2"/>
    <n v="589446.40999999992"/>
    <s v="BRL"/>
    <n v="41309.81"/>
    <s v="BRL"/>
    <s v="DDM - Data - Services &amp; Tech - Services (Analytics &amp; Support)"/>
    <d v="2026-02-27T00:00:00"/>
    <d v="2025-11-11T00:00:00"/>
    <s v="Inbound - Marketing (DEPRECATED)"/>
    <s v="Votorantim, BR"/>
    <s v="46"/>
    <s v="12"/>
    <x v="3"/>
  </r>
  <r>
    <s v="OPP-10147"/>
    <s v="ACC-1008"/>
    <s v="Dogwood Pharma"/>
    <s v="Lucas Almeida"/>
    <s v="Dogwood Pharma - DDM - Data - Services &amp; Tech - Services (Analytics &amp; Support) - 05/2026"/>
    <s v="Project - Competitive"/>
    <x v="3"/>
    <n v="1000704"/>
    <s v="BRL"/>
    <n v="433188"/>
    <s v="BRL"/>
    <s v="DDM - Data - Services &amp; Tech - Services (Analytics &amp; Support)"/>
    <d v="2026-04-05T00:00:00"/>
    <d v="2026-02-23T00:00:00"/>
    <s v="Prospecting - Current Client (DEPRECATED)"/>
    <s v="São Carlos, BR"/>
    <s v="50"/>
    <s v="12"/>
    <x v="0"/>
  </r>
  <r>
    <s v="OPP-10147"/>
    <s v="ACC-1008"/>
    <s v="Dogwood Pharma"/>
    <s v="Lucas Almeida"/>
    <s v="Dogwood Pharma - DDM - Data - Services &amp; Tech - Services (Analytics &amp; Support) - 05/2026"/>
    <s v="Project - Competitive"/>
    <x v="3"/>
    <n v="1000704"/>
    <s v="BRL"/>
    <n v="567516"/>
    <s v="BRL"/>
    <s v="DDM - Data - Services &amp; Tech - Services (Analytics &amp; Support)"/>
    <d v="2026-04-05T00:00:00"/>
    <d v="2026-02-23T00:00:00"/>
    <s v="Prospecting - Current Client (DEPRECATED)"/>
    <s v="São Carlos, BR"/>
    <s v="50"/>
    <s v="12"/>
    <x v="0"/>
  </r>
  <r>
    <s v="OPP-10071"/>
    <s v="ACC-1050"/>
    <s v="Dune Ecommerce"/>
    <s v="Queila Ribeiro"/>
    <s v="Dune Ecommerce - DDM - Data - Services &amp; Tech - Services (Analytics &amp; Support) - 03/2026"/>
    <s v="Change Order/Upsell"/>
    <x v="2"/>
    <n v="1818447"/>
    <s v="BRL"/>
    <n v="76079.89"/>
    <s v="BRL"/>
    <s v="DDM - Data - Services &amp; Tech - Services (Analytics &amp; Support)"/>
    <d v="2026-03-24T00:00:00"/>
    <d v="2025-12-15T00:00:00"/>
    <s v="Inbound - Current Client (DEPRECATED)"/>
    <s v="São Carlos, BR"/>
    <s v="21"/>
    <s v="8"/>
    <x v="0"/>
  </r>
  <r>
    <s v="OPP-10183"/>
    <s v="ACC-1050"/>
    <s v="Dune Ecommerce"/>
    <s v="Queila Ribeiro"/>
    <s v="Dune Ecommerce - Content - Platform - Website Creation &amp; Production - 05/2026"/>
    <s v="Change Order/Upsell"/>
    <x v="3"/>
    <n v="296000"/>
    <s v="BRL"/>
    <n v="20000"/>
    <s v="BRL"/>
    <s v="DDM - Data - Services &amp; Tech - Services (Analytics &amp; Support)"/>
    <d v="2026-05-31T00:00:00"/>
    <d v="2026-03-14T00:00:00"/>
    <s v="Inbound - Current Client (DEPRECATED)"/>
    <s v="São Carlos, BR"/>
    <s v="13"/>
    <s v="6"/>
    <x v="0"/>
  </r>
  <r>
    <s v="OPP-10052"/>
    <s v="ACC-1016"/>
    <s v="Elm Realty"/>
    <s v="Pedro Martins"/>
    <s v="Elm Realty - DDM - Data - Services &amp; Tech - Services (Analytics &amp; Support) - 03/2026"/>
    <s v="Flex/Renewal"/>
    <x v="2"/>
    <n v="517703.16"/>
    <s v="BRL"/>
    <n v="96838.56"/>
    <s v="BRL"/>
    <s v="DDM - Data - Services &amp; Tech - Services (Analytics &amp; Support)"/>
    <d v="2026-03-23T00:00:00"/>
    <d v="2025-11-27T00:00:00"/>
    <s v="MH Lead (DEPRECATED)"/>
    <s v="Votorantim, BR"/>
    <s v="22"/>
    <s v="12"/>
    <x v="1"/>
  </r>
  <r>
    <s v="OPP-10191"/>
    <s v="ACC-1016"/>
    <s v="Elm Realty"/>
    <s v="Pedro Martins"/>
    <s v="Elm Realty - DDM - Media - Managed Media (AOR) - 03/2026"/>
    <s v="Flex/Renewal"/>
    <x v="2"/>
    <n v="486654.96"/>
    <s v="BRL"/>
    <n v="96850.32"/>
    <s v="BRL"/>
    <s v="DDM - Data - Services &amp; Tech - Services (Analytics &amp; Support)"/>
    <d v="2026-03-20T00:00:00"/>
    <d v="2026-03-20T00:00:00"/>
    <s v="Inbound - Current Client (DEPRECATED)"/>
    <s v="Votorantim, BR"/>
    <s v="25"/>
    <s v="12"/>
    <x v="0"/>
  </r>
  <r>
    <s v="OPP-10083"/>
    <s v="ACC-1016"/>
    <s v="Elm Realty"/>
    <s v="Pedro Martins"/>
    <s v="Elm Realty - DDM - Media - Managed Media (AOR) - 03/2026"/>
    <s v="Change Order/Upsell"/>
    <x v="2"/>
    <n v="7943.76"/>
    <s v="BRL"/>
    <n v="7943.76"/>
    <s v="BRL"/>
    <s v="DDM - Data - Services &amp; Tech - Services (Analytics &amp; Support)"/>
    <d v="2026-03-20T00:00:00"/>
    <d v="2025-12-23T00:00:00"/>
    <s v="Inbound - Current Client (DEPRECATED)"/>
    <s v="Votorantim, BR"/>
    <s v="25"/>
    <s v="12"/>
    <x v="0"/>
  </r>
  <r>
    <s v="OPP-10029"/>
    <s v="ACC-1022"/>
    <s v="Ember Hospitality"/>
    <s v="Sofia Guimaraes"/>
    <s v="Ember Hospitality - DDM - Data - Services &amp; Tech - Services (Analytics &amp; Support) - 04/2026"/>
    <s v="Change Order/Upsell"/>
    <x v="2"/>
    <n v="1653085.7999999998"/>
    <s v="BRL"/>
    <n v="359170.32"/>
    <s v="BRL"/>
    <s v="DDM - Data - Services &amp; Tech - Services (Analytics &amp; Support)"/>
    <d v="2026-04-13T00:00:00"/>
    <d v="2025-10-24T00:00:00"/>
    <s v="Inbound - Current Client (DEPRECATED)"/>
    <s v="São Carlos, BR"/>
    <s v="1"/>
    <s v="10"/>
    <x v="0"/>
  </r>
  <r>
    <s v="OPP-10097"/>
    <s v="ACC-1014"/>
    <s v="Fern Agriculture"/>
    <s v="Lucas Almeida"/>
    <s v="Fern Agriculture - DDM - Data - Services &amp; Tech - Services (Analytics &amp; Support) - 04/2026"/>
    <s v="Project - Not Competitive"/>
    <x v="0"/>
    <n v="1410000"/>
    <s v="BRL"/>
    <n v="234000"/>
    <s v="BRL"/>
    <s v="DDM - Data - Services &amp; Tech - Services (Analytics &amp; Support)"/>
    <d v="2026-04-13T00:00:00"/>
    <d v="2026-01-16T00:00:00"/>
    <s v="Inbound - Website - Media.Monks (DEPRECATED)"/>
    <s v="Votorantim, BR"/>
    <s v="21"/>
    <s v="12"/>
    <x v="3"/>
  </r>
  <r>
    <s v="OPP-10176"/>
    <s v="ACC-1102"/>
    <s v="Fjord Travel"/>
    <s v="Daniel Moura"/>
    <s v="Fjord Travel - DDM - Data - Services &amp; Tech - Services (Analytics &amp; Support) - 05/2026"/>
    <s v="Change Order/Upsell"/>
    <x v="3"/>
    <n v="585915.63"/>
    <s v="BRL"/>
    <n v="119522.87"/>
    <s v="BRL"/>
    <s v="DDM - Data - Services &amp; Tech - Services (Analytics &amp; Support)"/>
    <d v="2026-05-31T00:00:00"/>
    <d v="2026-11-03T00:00:00"/>
    <s v="Don't Know/Other (DEPRECATED)"/>
    <s v="Votorantim, BR"/>
    <s v="15"/>
    <s v="12"/>
    <x v="1"/>
  </r>
  <r>
    <s v="OPP-10061"/>
    <s v="ACC-1004"/>
    <s v="Harbor Grocers"/>
    <s v="Carla Mendes"/>
    <s v="Harbor Grocers - DDM - Data - Services &amp; Tech - Services (Analytics &amp; Support) - 01/2026"/>
    <s v="Change Order/Upsell"/>
    <x v="2"/>
    <n v="358921.88"/>
    <s v="BRL"/>
    <n v="53600"/>
    <s v="BRL"/>
    <s v="DDM - Data - Services &amp; Tech - Services (Analytics &amp; Support)"/>
    <d v="2026-01-14T00:00:00"/>
    <d v="2025-04-12T00:00:00"/>
    <s v="Inbound - Current Client (DEPRECATED)"/>
    <s v="São Carlos, BR"/>
    <s v="90"/>
    <s v="12"/>
    <x v="0"/>
  </r>
  <r>
    <s v="OPP-10066"/>
    <s v="ACC-1049"/>
    <s v="Hazel Construction"/>
    <s v="Bernardo Castro"/>
    <s v="Hazel Construction - Content - Social - AOR - 02/2026"/>
    <s v="Flex/Renewal"/>
    <x v="2"/>
    <n v="1546078.56"/>
    <s v="BRL"/>
    <n v="183485.76"/>
    <s v="BRL"/>
    <s v="DDM - Data - Services &amp; Tech - Services (Analytics &amp; Support)"/>
    <d v="2026-12-03T00:00:00"/>
    <d v="2025-08-12T00:00:00"/>
    <s v="Inbound - Current Client (DEPRECATED)"/>
    <s v="São Carlos, BR"/>
    <s v="33"/>
    <s v="12"/>
    <x v="0"/>
  </r>
  <r>
    <s v="OPP-10060"/>
    <s v="ACC-1005"/>
    <s v="Helios Tech"/>
    <s v="Lucas Almeida"/>
    <s v="Helios Tech - DDM - Data - Services &amp; Tech - Services (Analytics &amp; Support) - 04/2026"/>
    <s v="Project - Competitive"/>
    <x v="0"/>
    <n v="993642.36"/>
    <s v="BRL"/>
    <n v="57000"/>
    <s v="BRL"/>
    <s v="DDM - Data - Services &amp; Tech - Services (Analytics &amp; Support)"/>
    <d v="2026-10-04T00:00:00"/>
    <d v="2025-03-12T00:00:00"/>
    <s v="Don't Know/Other (DEPRECATED)"/>
    <s v="Votorantim, BR"/>
    <s v="21"/>
    <s v="12"/>
    <x v="1"/>
  </r>
  <r>
    <s v="OPP-10178"/>
    <s v="ACC-1053"/>
    <s v="Hemlock Insurance"/>
    <s v="Bernardo Castro"/>
    <s v="Hemlock Insurance - DDM - Media - Activation - Platforms Reselling - 04/2026"/>
    <s v="Change Order/Upsell"/>
    <x v="1"/>
    <n v="3363176.34"/>
    <s v="BRL"/>
    <n v="3363176.34"/>
    <s v="BRL"/>
    <s v="DDM - Data - Services &amp; Tech - Services (Analytics &amp; Support)"/>
    <d v="2026-06-30T00:00:00"/>
    <d v="2026-12-03T00:00:00"/>
    <s v="Inbound - Current Client (DEPRECATED)"/>
    <s v="São Carlos, BR"/>
    <s v="29"/>
    <s v="12"/>
    <x v="0"/>
  </r>
  <r>
    <s v="OPP-10168"/>
    <s v="ACC-1069"/>
    <s v="Honeysuckle Travel"/>
    <s v="Bruno Costa"/>
    <s v="Honeysuckle Travel - DDM - Data - Services &amp; Tech - Services (Analytics &amp; Support) - 05/2026"/>
    <s v="Flex/Renewal"/>
    <x v="4"/>
    <n v="809225.34"/>
    <s v="BRL"/>
    <n v="109005.84"/>
    <s v="BRL"/>
    <s v="DDM - Data - Services &amp; Tech - Services (Analytics &amp; Support)"/>
    <d v="2026-05-31T00:00:00"/>
    <d v="2026-06-03T00:00:00"/>
    <s v="Inbound - Current Client (DEPRECATED)"/>
    <s v="São Carlos, BR"/>
    <s v="18"/>
    <s v="6"/>
    <x v="0"/>
  </r>
  <r>
    <s v="OPP-10068"/>
    <s v="ACC-1023"/>
    <s v="Iris Delivery"/>
    <s v="Amanda Rios"/>
    <s v="Iris Delivery - Content - Platform - Performance, SEO, CRM &amp; Loyalty - 03/2026"/>
    <s v="Change Order/Upsell"/>
    <x v="0"/>
    <n v="10992.1"/>
    <s v="BRL"/>
    <n v="10992.1"/>
    <s v="BRL"/>
    <s v="DDM - Data - Services &amp; Tech - Services (Analytics &amp; Support)"/>
    <d v="2026-04-29T00:00:00"/>
    <d v="2025-09-12T00:00:00"/>
    <s v="Inbound - Current Client (DEPRECATED)"/>
    <s v="Votorantim, BR"/>
    <s v="126"/>
    <s v="1"/>
    <x v="0"/>
  </r>
  <r>
    <s v="OPP-10050"/>
    <s v="ACC-1045"/>
    <s v="Jasper Security"/>
    <s v="Felipe Lima"/>
    <s v="Jasper Security - DDM - Data - Services &amp; Tech - Services (Analytics &amp; Support) - 05/2026"/>
    <s v="Project - Competitive"/>
    <x v="3"/>
    <n v="6208423.2000000002"/>
    <s v="BRL"/>
    <n v="412673.64"/>
    <s v="BRL"/>
    <s v="DDM - Data - Services &amp; Tech - Services (Analytics &amp; Support)"/>
    <d v="2026-05-13T00:00:00"/>
    <d v="2025-11-26T00:00:00"/>
    <s v="Referral - Internal"/>
    <s v="Votorantim, BR"/>
    <s v="64"/>
    <s v="12"/>
    <x v="2"/>
  </r>
  <r>
    <s v="OPP-10035"/>
    <s v="ACC-1010"/>
    <s v="Juniper Data"/>
    <s v="Lucas Almeida"/>
    <s v="Juniper Data - DDM - Data - Services &amp; Tech - Services (Analytics &amp; Support) - 06/2026"/>
    <s v="Project - Competitive"/>
    <x v="3"/>
    <n v="286464"/>
    <s v="BRL"/>
    <n v="12000"/>
    <s v="BRL"/>
    <s v="DDM - Data - Services &amp; Tech - Services (Analytics &amp; Support)"/>
    <d v="2026-06-29T00:00:00"/>
    <d v="2025-03-11T00:00:00"/>
    <s v="Industry Event"/>
    <s v="São Carlos, BR"/>
    <s v="134"/>
    <s v="24"/>
    <x v="4"/>
  </r>
  <r>
    <s v="OPP-10198"/>
    <s v="ACC-1066"/>
    <s v="Magnolia Retail"/>
    <s v="Carla Mendes"/>
    <s v="Magnolia Retail - DDM - Data - Services &amp; Tech - Services (Analytics &amp; Support) - 04/2026"/>
    <s v="Flex/Renewal"/>
    <x v="0"/>
    <n v="74000"/>
    <s v="BRL"/>
    <n v="74000"/>
    <s v="BRL"/>
    <s v="DDM - Data - Services &amp; Tech - Services (Analytics &amp; Support)"/>
    <d v="2026-04-30T00:00:00"/>
    <d v="2026-03-26T00:00:00"/>
    <s v="Inbound - Current Client (DEPRECATED)"/>
    <s v="São Carlos, BR"/>
    <s v="13"/>
    <s v="6"/>
    <x v="0"/>
  </r>
  <r>
    <s v="OPP-10058"/>
    <s v="ACC-1095"/>
    <s v="Nimbus Media"/>
    <s v="Yasmin Nogueira"/>
    <s v="Nimbus Media - DDM - Data - Services &amp; Tech - Services (Analytics &amp; Support) - 05/2026"/>
    <s v="Project - Competitive"/>
    <x v="3"/>
    <n v="2627267.83"/>
    <s v="BRL"/>
    <n v="21120.19"/>
    <s v="BRL"/>
    <s v="DDM - Data - Services &amp; Tech - Services (Analytics &amp; Support)"/>
    <d v="2026-11-05T00:00:00"/>
    <d v="2025-01-12T00:00:00"/>
    <s v="Referral - Personal"/>
    <s v="Votorantim, BR"/>
    <s v="54"/>
    <s v="12"/>
    <x v="2"/>
  </r>
  <r>
    <s v="OPP-10021"/>
    <s v="ACC-1031"/>
    <s v="Nova Studios"/>
    <s v="Queila Ribeiro"/>
    <s v="Nova Studios - Content - Platform - Website Creation &amp; Production - 01/2026"/>
    <s v="Flex/Renewal"/>
    <x v="2"/>
    <n v="4551785.4000000004"/>
    <s v="BRL"/>
    <n v="956103.36"/>
    <s v="BRL"/>
    <s v="DDM - Data - Services &amp; Tech - Services (Analytics &amp; Support)"/>
    <d v="2026-03-18T00:00:00"/>
    <d v="2025-03-10T00:00:00"/>
    <s v="Inbound - Current Client (DEPRECATED)"/>
    <s v="São Carlos, BR"/>
    <s v="27"/>
    <s v="12"/>
    <x v="0"/>
  </r>
  <r>
    <s v="OPP-10021"/>
    <s v="ACC-1031"/>
    <s v="Nova Studios"/>
    <s v="Queila Ribeiro"/>
    <s v="Nova Studios - DDM - Data - Services &amp; Tech - Services (Analytics &amp; Support) - 01/2026"/>
    <s v="Flex/Renewal"/>
    <x v="2"/>
    <n v="4551785.4000000004"/>
    <s v="BRL"/>
    <n v="804870.24"/>
    <s v="BRL"/>
    <s v="DDM - Data - Services &amp; Tech - Services (Analytics &amp; Support)"/>
    <d v="2026-03-18T00:00:00"/>
    <d v="2025-03-10T00:00:00"/>
    <s v="Inbound - Current Client (DEPRECATED)"/>
    <s v="São Carlos, BR"/>
    <s v="27"/>
    <s v="12"/>
    <x v="0"/>
  </r>
  <r>
    <s v="OPP-10021"/>
    <s v="ACC-1031"/>
    <s v="Nova Studios"/>
    <s v="Queila Ribeiro"/>
    <s v="Nova Studios - DDM - Data - Services &amp; Tech - Services (Analytics &amp; Support) - 03/2026"/>
    <s v="Flex/Renewal"/>
    <x v="2"/>
    <n v="4551785.4000000004"/>
    <s v="BRL"/>
    <n v="2790811.8"/>
    <s v="BRL"/>
    <s v="DDM - Data - Services &amp; Tech - Services (Analytics &amp; Support)"/>
    <d v="2026-03-18T00:00:00"/>
    <d v="2025-03-10T00:00:00"/>
    <s v="Inbound - Current Client (DEPRECATED)"/>
    <s v="São Carlos, BR"/>
    <s v="27"/>
    <s v="12"/>
    <x v="0"/>
  </r>
  <r>
    <s v="OPP-10064"/>
    <s v="ACC-1031"/>
    <s v="Nova Studios"/>
    <s v="Queila Ribeiro"/>
    <s v="Nova Studios - DDM - Media - Managed Media (AOR) - 04/2026"/>
    <s v="Flex/Renewal"/>
    <x v="0"/>
    <n v="4235159.34"/>
    <s v="BRL"/>
    <n v="210987.53"/>
    <s v="BRL"/>
    <s v="DDM - Data - Services &amp; Tech - Services (Analytics &amp; Support)"/>
    <d v="2026-04-17T00:00:00"/>
    <d v="2025-08-12T00:00:00"/>
    <s v="Inbound - Current Client (DEPRECATED)"/>
    <s v="São Carlos, BR"/>
    <s v="26"/>
    <s v="6"/>
    <x v="0"/>
  </r>
  <r>
    <s v="OPP-10010"/>
    <s v="ACC-1031"/>
    <s v="Nova Studios"/>
    <s v="Queila Ribeiro"/>
    <s v="Nova Studios -  - 05/2026"/>
    <s v="Change Order/Upsell"/>
    <x v="2"/>
    <n v="33442.82"/>
    <s v="BRL"/>
    <n v="33442.82"/>
    <s v="BRL"/>
    <s v="DDM - Data - Services &amp; Tech - Services (Analytics &amp; Support)"/>
    <d v="2026-08-01T00:00:00"/>
    <d v="2025-08-28T00:00:00"/>
    <s v="Inbound - Current Client (DEPRECATED)"/>
    <s v="São Carlos, BR"/>
    <s v="96"/>
    <s v="1"/>
    <x v="0"/>
  </r>
  <r>
    <s v="OPP-10044"/>
    <s v="ACC-1063"/>
    <s v="Saffron Fashion"/>
    <s v="Ana Silva"/>
    <s v="Saffron Fashion - DDM - Data - Services &amp; Tech - Services (Analytics &amp; Support) - 01/2026"/>
    <s v="Change Order/Upsell"/>
    <x v="2"/>
    <n v="2518147.83"/>
    <s v="BRL"/>
    <n v="466000"/>
    <s v="BRL"/>
    <s v="DDM - Data - Services &amp; Tech - Services (Analytics &amp; Support)"/>
    <d v="2026-12-01T00:00:00"/>
    <d v="2025-11-14T00:00:00"/>
    <s v="Inbound - Current Client (DEPRECATED)"/>
    <s v="São Carlos, BR"/>
    <s v="92"/>
    <s v="12"/>
    <x v="0"/>
  </r>
  <r>
    <s v="OPP-10044"/>
    <s v="ACC-1063"/>
    <s v="Saffron Fashion"/>
    <s v="Ana Silva"/>
    <s v="Saffron Fashion - DDM - Data - Services &amp; Tech - Services (Analytics &amp; Support) - 01/2026"/>
    <s v="Change Order/Upsell"/>
    <x v="2"/>
    <n v="2518147.83"/>
    <s v="BRL"/>
    <n v="180000"/>
    <s v="BRL"/>
    <s v="DDM - Data - Services &amp; Tech - Services (Analytics &amp; Support)"/>
    <d v="2026-12-01T00:00:00"/>
    <d v="2025-11-14T00:00:00"/>
    <s v="Inbound - Current Client (DEPRECATED)"/>
    <s v="São Carlos, BR"/>
    <s v="92"/>
    <s v="12"/>
    <x v="0"/>
  </r>
  <r>
    <s v="OPP-10017"/>
    <s v="ACC-1063"/>
    <s v="Saffron Fashion"/>
    <s v="Ana Silva"/>
    <s v="Saffron Fashion - DDM - Media - Managed Media (AOR) - 01/2026"/>
    <s v="Change Order/Upsell"/>
    <x v="2"/>
    <n v="1157087.3999999999"/>
    <s v="BRL"/>
    <n v="230265"/>
    <s v="BRL"/>
    <s v="DDM - Data - Services &amp; Tech - Services (Analytics &amp; Support)"/>
    <d v="2026-05-01T00:00:00"/>
    <d v="2025-09-25T00:00:00"/>
    <s v="Inbound - Current Client (DEPRECATED)"/>
    <s v="São Carlos, BR"/>
    <s v="99"/>
    <s v="12"/>
    <x v="0"/>
  </r>
  <r>
    <s v="OPP-10072"/>
    <s v="ACC-1063"/>
    <s v="Saffron Fashion"/>
    <s v="Ana Silva"/>
    <s v="Saffron Fashion - DDM - Media - Creative - 01/2026"/>
    <s v="Flex/Renewal"/>
    <x v="2"/>
    <n v="6770269.9100000001"/>
    <s v="BRL"/>
    <n v="1144634.99"/>
    <s v="BRL"/>
    <s v="DDM - Data - Services &amp; Tech - Services (Analytics &amp; Support)"/>
    <d v="2026-01-27T00:00:00"/>
    <d v="2025-12-15T00:00:00"/>
    <s v="Inbound - Current Client (DEPRECATED)"/>
    <s v="São Carlos, BR"/>
    <s v="77"/>
    <s v="12"/>
    <x v="0"/>
  </r>
  <r>
    <s v="OPP-10032"/>
    <s v="ACC-1063"/>
    <s v="Saffron Fashion"/>
    <s v="Ana Silva"/>
    <s v="Saffron Fashion - DDM - Media - Managed Media (AOR) - 03/2026"/>
    <s v="Change Order/Upsell"/>
    <x v="2"/>
    <n v="722935.92"/>
    <s v="BRL"/>
    <n v="115132.8"/>
    <s v="BRL"/>
    <s v="DDM - Data - Services &amp; Tech - Services (Analytics &amp; Support)"/>
    <d v="2026-05-01T00:00:00"/>
    <d v="2025-10-29T00:00:00"/>
    <s v="Inbound - Current Client (DEPRECATED)"/>
    <s v="São Carlos, BR"/>
    <s v="99"/>
    <s v="12"/>
    <x v="0"/>
  </r>
  <r>
    <s v="OPP-10233"/>
    <s v="ACC-1063"/>
    <s v="Saffron Fashion"/>
    <s v="Ana Silva"/>
    <s v="Saffron Fashion - DDM - Data - Services &amp; Tech - Services (Analytics &amp; Support) - 06/2026"/>
    <s v="Change Order/Upsell"/>
    <x v="6"/>
    <n v="0"/>
    <s v="BRL"/>
    <n v="0"/>
    <s v="BRL"/>
    <s v="DDM - Data - Services &amp; Tech - Services (Analytics &amp; Support)"/>
    <d v="2026-06-30T00:00:00"/>
    <d v="2026-09-04T00:00:00"/>
    <s v="MH Lead (DEPRECATED)"/>
    <s v="São Carlos, BR"/>
    <s v="5"/>
    <s v="12"/>
    <x v="1"/>
  </r>
  <r>
    <s v="OPP-10023"/>
    <s v="ACC-1038"/>
    <s v="Sumac Telecom"/>
    <s v="Pedro Martins"/>
    <s v="Sumac Telecom - DDM - Data - Services &amp; Tech - Services (Analytics &amp; Support) - 03/2026"/>
    <s v="Flex/Renewal"/>
    <x v="2"/>
    <n v="1758176.04"/>
    <s v="BRL"/>
    <n v="194700"/>
    <s v="BRL"/>
    <s v="DDM - Data - Services &amp; Tech - Services (Analytics &amp; Support)"/>
    <d v="2026-09-03T00:00:00"/>
    <d v="2025-09-10T00:00:00"/>
    <s v="Inbound - Current Client (DEPRECATED)"/>
    <s v="Votorantim, BR"/>
    <s v="36"/>
    <s v="12"/>
    <x v="0"/>
  </r>
  <r>
    <s v="OPP-10128"/>
    <s v="ACC-1074"/>
    <s v="Tamarind Bank"/>
    <s v="Wanda Borges"/>
    <s v="Tamarind Bank - DDM - Data - Services &amp; Tech - Services (Analytics &amp; Support) - 05/2026"/>
    <s v="Project - Competitive"/>
    <x v="1"/>
    <n v="863424.8"/>
    <s v="BRL"/>
    <n v="376021.9"/>
    <s v="BRL"/>
    <s v="DDM - Data - Services &amp; Tech - Services (Analytics &amp; Support)"/>
    <d v="2026-01-05T00:00:00"/>
    <d v="2026-11-02T00:00:00"/>
    <s v="Prospecting - Current Client (DEPRECATED)"/>
    <s v="São Carlos, BR"/>
    <s v="55"/>
    <s v="10"/>
    <x v="0"/>
  </r>
  <r>
    <s v="OPP-10243"/>
    <s v="ACC-1019"/>
    <s v="Thistle Tech"/>
    <s v="Amanda Rios"/>
    <s v="Thistle Tech - DDM - Data - Services &amp; Tech - Services (Analytics &amp; Support) - 01/2026"/>
    <s v="Change Order/Upsell"/>
    <x v="6"/>
    <n v="2163037.2000000002"/>
    <s v="BRL"/>
    <n v="2163037.2000000002"/>
    <s v="BRL"/>
    <s v="DDM - Data - Services &amp; Tech - Services (Analytics &amp; Support)"/>
    <d v="2026-06-30T00:00:00"/>
    <d v="2026-10-04T00:00:00"/>
    <s v="MH Lead (DEPRECATED)"/>
    <s v="São Carlos, BR"/>
    <s v="4"/>
    <s v="12"/>
    <x v="1"/>
  </r>
  <r>
    <s v="OPP-10054"/>
    <s v="ACC-1019"/>
    <s v="Thistle Tech"/>
    <s v="Amanda Rios"/>
    <s v="Thistle Tech - DDM - Data - Services &amp; Tech - Services (Analytics &amp; Support) - 01/2026"/>
    <s v="Change Order/Upsell"/>
    <x v="2"/>
    <n v="294537.34999999998"/>
    <s v="BRL"/>
    <n v="294537.34999999998"/>
    <s v="BRL"/>
    <s v="DDM - Data - Services &amp; Tech - Services (Analytics &amp; Support)"/>
    <d v="2026-01-30T00:00:00"/>
    <d v="2025-11-28T00:00:00"/>
    <s v="Inbound - Current Client (DEPRECATED)"/>
    <s v="São Carlos, BR"/>
    <s v="74"/>
    <s v="5"/>
    <x v="0"/>
  </r>
  <r>
    <s v="OPP-10063"/>
    <s v="ACC-1019"/>
    <s v="Thistle Tech"/>
    <s v="Amanda Rios"/>
    <s v="Thistle Tech - DDM - Data - Services &amp; Tech - Services (Analytics &amp; Support) - 06/2026"/>
    <s v="Change Order/Upsell"/>
    <x v="2"/>
    <n v="38183.32"/>
    <s v="BRL"/>
    <n v="38183.32"/>
    <s v="BRL"/>
    <s v="DDM - Data - Services &amp; Tech - Services (Analytics &amp; Support)"/>
    <d v="2026-01-30T00:00:00"/>
    <d v="2025-05-12T00:00:00"/>
    <s v="Inbound - Current Client (DEPRECATED)"/>
    <s v="São Carlos, BR"/>
    <s v="74"/>
    <s v="2"/>
    <x v="0"/>
  </r>
  <r>
    <s v="OPP-10159"/>
    <s v="ACC-1111"/>
    <s v="Walnut Manufacturing"/>
    <s v="Wanda Borges"/>
    <s v="Walnut Manufacturing - DDM - Data - Services &amp; Tech - Services (Analytics &amp; Support) - 05/2026"/>
    <s v="Project - Competitive"/>
    <x v="1"/>
    <n v="2133050.04"/>
    <s v="BRL"/>
    <n v="189158.04"/>
    <s v="BRL"/>
    <s v="DDM - Data - Services &amp; Tech - Services (Analytics &amp; Support)"/>
    <d v="2026-05-29T00:00:00"/>
    <d v="2026-03-03T00:00:00"/>
    <s v="Inbound - Website - Media.Monks (DEPRECATED)"/>
    <s v="Votorantim, BR"/>
    <s v="15"/>
    <s v="12"/>
    <x v="3"/>
  </r>
  <r>
    <s v="OPP-10142"/>
    <s v="ACC-1039"/>
    <s v="Xerus Mobility"/>
    <s v="Daniel Moura"/>
    <s v="Xerus Mobility - DDM - Data - Services &amp; Tech - Services (Analytics &amp; Support) - 05/2026"/>
    <s v="Change Order/Upsell"/>
    <x v="1"/>
    <n v="254376.21"/>
    <s v="BRL"/>
    <n v="254376.21"/>
    <s v="BRL"/>
    <s v="DDM - Data - Services &amp; Tech - Services (Analytics &amp; Support)"/>
    <d v="2026-05-31T00:00:00"/>
    <d v="2026-02-19T00:00:00"/>
    <s v="Inbound - Current Client (DEPRECATED)"/>
    <s v="Votorantim, BR"/>
    <s v="33"/>
    <s v="6"/>
    <x v="0"/>
  </r>
  <r>
    <s v="OPP-10051"/>
    <s v="ACC-1044"/>
    <s v="Yerba Studios"/>
    <s v="Carla Mendes"/>
    <s v="Yerba Studios - DDM - Data - Services &amp; Tech - Services (Analytics &amp; Support) - 01/2026"/>
    <s v="Flex/Renewal"/>
    <x v="2"/>
    <n v="760000"/>
    <s v="BRL"/>
    <n v="64000"/>
    <s v="BRL"/>
    <s v="DDM - Data - Services &amp; Tech - Services (Analytics &amp; Support)"/>
    <d v="2026-01-27T00:00:00"/>
    <d v="2025-11-26T00:00:00"/>
    <s v="Inbound - Current Client (DEPRECATED)"/>
    <s v="São Carlos, BR"/>
    <s v="77"/>
    <s v="12"/>
    <x v="0"/>
  </r>
  <r>
    <s v="OPP-10048"/>
    <s v="ACC-1106"/>
    <s v="Yucca Farms"/>
    <s v="Joao Pereira"/>
    <s v="Yucca Farms - DDM - Data - Services &amp; Tech - Services (Analytics &amp; Support) - 03/2026"/>
    <s v="Project - Competitive"/>
    <x v="2"/>
    <n v="195525"/>
    <s v="BRL"/>
    <n v="61020"/>
    <s v="BRL"/>
    <s v="DDM - Data - Services &amp; Tech - Services (Analytics &amp; Support)"/>
    <d v="2026-03-31T00:00:00"/>
    <d v="2025-11-26T00:00:00"/>
    <s v="Referral - Personal"/>
    <s v="Votorantim, BR"/>
    <s v="14"/>
    <s v="3"/>
    <x v="2"/>
  </r>
  <r>
    <s v="OPP-10172"/>
    <s v="ACC-1085"/>
    <s v="Yumberry Mobile"/>
    <s v="Felipe Lima"/>
    <s v="Yumberry Mobile - DDM - Data - Services &amp; Tech - Services (Analytics &amp; Support) - 05/2026"/>
    <s v="Project - Competitive"/>
    <x v="3"/>
    <n v="835250.32000000007"/>
    <s v="BRL"/>
    <n v="41122"/>
    <s v="BRL"/>
    <s v="DDM - Data - Services &amp; Tech - Services (Analytics &amp; Support)"/>
    <d v="2026-05-13T00:00:00"/>
    <d v="2026-11-03T00:00:00"/>
    <s v="Referral - Internal"/>
    <s v="São Carlos, BR"/>
    <s v="25"/>
    <s v="12"/>
    <x v="2"/>
  </r>
  <r>
    <s v="OPP-10043"/>
    <s v="ACC-1029"/>
    <s v="Zephyr Telecom"/>
    <s v="Ana Silva"/>
    <s v="Zephyr Telecom - DDM - Media - Managed Media (AOR) - 03/2026"/>
    <s v="Flex/Renewal"/>
    <x v="2"/>
    <n v="4260383.32"/>
    <s v="BRL"/>
    <n v="432000"/>
    <s v="BRL"/>
    <s v="DDM - Data - Services &amp; Tech - Services (Analytics &amp; Support)"/>
    <d v="2026-09-03T00:00:00"/>
    <d v="2025-11-14T00:00:00"/>
    <s v="Inbound - Current Client (DEPRECATED)"/>
    <s v="São Carlos, BR"/>
    <s v="36"/>
    <s v="12"/>
    <x v="0"/>
  </r>
  <r>
    <s v="OPP-10045"/>
    <s v="ACC-1029"/>
    <s v="Zephyr Telecom"/>
    <s v="Ana Silva"/>
    <s v="Zephyr Telecom - DDM - Media - Managed Media (AOR) - 02/2026"/>
    <s v="Flex/Renewal"/>
    <x v="2"/>
    <n v="3785206.2099999995"/>
    <s v="BRL"/>
    <n v="746108.88"/>
    <s v="BRL"/>
    <s v="DDM - Data - Services &amp; Tech - Services (Analytics &amp; Support)"/>
    <d v="2026-02-13T00:00:00"/>
    <d v="2025-11-14T00:00:00"/>
    <s v="Inbound - Current Client (DEPRECATED)"/>
    <s v="São Carlos, BR"/>
    <s v="60"/>
    <s v="12"/>
    <x v="0"/>
  </r>
  <r>
    <s v="OPP-10059"/>
    <s v="ACC-1029"/>
    <s v="Zephyr Telecom"/>
    <s v="Ana Silva"/>
    <s v="Zephyr Telecom - DDM - Data - Services &amp; Tech - Services (Analytics &amp; Support) - 03/2026"/>
    <s v="Flex/Renewal"/>
    <x v="2"/>
    <n v="490082.16"/>
    <s v="BRL"/>
    <n v="144000"/>
    <s v="BRL"/>
    <s v="DDM - Data - Services &amp; Tech - Services (Analytics &amp; Support)"/>
    <d v="2026-11-03T00:00:00"/>
    <d v="2025-02-12T00:00:00"/>
    <s v="Inbound - Current Client (DEPRECATED)"/>
    <s v="São Carlos, BR"/>
    <s v="34"/>
    <s v="12"/>
    <x v="0"/>
  </r>
  <r>
    <s v="OPP-10179"/>
    <s v="ACC-1029"/>
    <s v="Zephyr Telecom"/>
    <s v="Ana Silva"/>
    <s v="Zephyr Telecom - DDM - Media - Managed Media (AOR) - 02/2026"/>
    <s v="Flex/Renewal"/>
    <x v="0"/>
    <n v="709465.68"/>
    <s v="BRL"/>
    <n v="144000"/>
    <s v="BRL"/>
    <s v="DDM - Data - Services &amp; Tech - Services (Analytics &amp; Support)"/>
    <d v="2026-04-30T00:00:00"/>
    <d v="2026-12-03T00:00:00"/>
    <s v="Inbound - Current Client (DEPRECATED)"/>
    <s v="São Carlos, BR"/>
    <s v="28"/>
    <s v="12"/>
    <x v="0"/>
  </r>
  <r>
    <s v="OPP-10006"/>
    <s v="ACC-1029"/>
    <s v="Zephyr Telecom"/>
    <s v="Ana Silva"/>
    <s v="Zephyr Telecom - DDM - Data - Services &amp; Tech - Services (Analytics &amp; Support) - 04/2026"/>
    <s v="Change Order/Upsell"/>
    <x v="2"/>
    <n v="64258.47"/>
    <s v="BRL"/>
    <n v="64258.47"/>
    <s v="BRL"/>
    <s v="DDM - Data - Services &amp; Tech - Services (Analytics &amp; Support)"/>
    <d v="2026-01-21T00:00:00"/>
    <d v="2025-08-21T00:00:00"/>
    <s v="Inbound - Current Client (DEPRECATED)"/>
    <s v="São Carlos, BR"/>
    <s v="83"/>
    <s v="1"/>
    <x v="0"/>
  </r>
  <r>
    <s v="OPP-10086"/>
    <s v="ACC-1029"/>
    <s v="Zephyr Telecom"/>
    <s v="Ana Silva"/>
    <s v="Zephyr Telecom - Content - Platform - Performance, SEO, CRM &amp; Loyalty - 06/2026"/>
    <s v="Change Order/Upsell"/>
    <x v="0"/>
    <n v="10"/>
    <s v="BRL"/>
    <n v="10"/>
    <s v="BRL"/>
    <s v="DDM - Data - Services &amp; Tech - Services (Analytics &amp; Support)"/>
    <d v="2026-04-30T00:00:00"/>
    <d v="2026-08-01T00:00:00"/>
    <s v="Inbound - Current Client (DEPRECATED)"/>
    <s v="São Carlos, BR"/>
    <s v="61"/>
    <s v="1"/>
    <x v="0"/>
  </r>
  <r>
    <s v="OPP-10008"/>
    <s v="ACC-1015"/>
    <s v="Zinnia Apparel"/>
    <s v="Ana Silva"/>
    <s v="Zinnia Apparel - DDM - Data - Services &amp; Tech - Services (Analytics &amp; Support) - 03/2026"/>
    <s v="Flex/Renewal"/>
    <x v="2"/>
    <n v="2706200.27"/>
    <s v="BRL"/>
    <n v="573365.34"/>
    <s v="BRL"/>
    <s v="DDM - Data - Services &amp; Tech - Services (Analytics &amp; Support)"/>
    <d v="2026-03-31T00:00:00"/>
    <d v="2025-08-22T00:00:00"/>
    <s v="Inbound - Current Client (DEPRECATED)"/>
    <s v="São Carlos, BR"/>
    <s v="14"/>
    <s v="12"/>
    <x v="0"/>
  </r>
  <r>
    <s v="OPP-10053"/>
    <s v="ACC-1064"/>
    <s v="Arrow Construction"/>
    <s v="Daniel Moura"/>
    <s v="Arrow Construction - Content - Platform - Performance, SEO, CRM &amp; Loyalty - 05/2026"/>
    <s v="Change Order/Upsell"/>
    <x v="0"/>
    <n v="235251.12000000002"/>
    <s v="BRL"/>
    <n v="47991.23"/>
    <s v="BRL"/>
    <s v="DDM - Data - Services &amp; Tech - Services (Data Science/Data Eng.)"/>
    <d v="2026-05-31T00:00:00"/>
    <d v="2025-11-28T00:00:00"/>
    <s v="Inbound - Current Client (DEPRECATED)"/>
    <s v="Votorantim, BR"/>
    <s v="69"/>
    <s v="12"/>
    <x v="0"/>
  </r>
  <r>
    <s v="OPP-10081"/>
    <s v="ACC-1107"/>
    <s v="Cobalt SaaS"/>
    <s v="Xavier Correia"/>
    <s v="Cobalt SaaS - DDM - Data - Services &amp; Tech - Services (Data Science/Data Eng.) - 01/2026"/>
    <s v="Project - Not Competitive"/>
    <x v="2"/>
    <n v="120000"/>
    <s v="BRL"/>
    <n v="120000"/>
    <s v="BRL"/>
    <s v="DDM - Data - Services &amp; Tech - Services (Data Science/Data Eng.)"/>
    <d v="2026-01-14T00:00:00"/>
    <d v="2025-12-22T00:00:00"/>
    <s v="Referral - Personal"/>
    <s v="São Carlos, BR"/>
    <s v="90"/>
    <s v="12"/>
    <x v="2"/>
  </r>
  <r>
    <s v="OPP-10099"/>
    <s v="ACC-1112"/>
    <s v="Company 111"/>
    <s v="Xavier Correia"/>
    <s v="Company 111 - DDM - Data - Services &amp; Tech - Services (Data Science/Data Eng.) - 02/2026"/>
    <s v="Project - Competitive"/>
    <x v="2"/>
    <n v="4293965.2399999993"/>
    <s v="BRL"/>
    <n v="631584"/>
    <s v="BRL"/>
    <s v="DDM - Data - Services &amp; Tech - Services (Data Science/Data Eng.)"/>
    <d v="2026-02-27T00:00:00"/>
    <d v="2026-01-20T00:00:00"/>
    <s v="Referral - S4 Company"/>
    <s v="São Carlos, BR"/>
    <s v="46"/>
    <s v="12"/>
    <x v="2"/>
  </r>
  <r>
    <s v="OPP-10050"/>
    <s v="ACC-1045"/>
    <s v="Jasper Security"/>
    <s v="Felipe Lima"/>
    <s v="Jasper Security - DDM - Data - Services &amp; Tech - Services (Data Science/Data Eng.) - 05/2026"/>
    <s v="Project - Competitive"/>
    <x v="3"/>
    <n v="6208423.2000000002"/>
    <s v="BRL"/>
    <n v="419838.24"/>
    <s v="BRL"/>
    <s v="DDM - Data - Services &amp; Tech - Services (Data Science/Data Eng.)"/>
    <d v="2026-05-13T00:00:00"/>
    <d v="2025-11-26T00:00:00"/>
    <s v="Referral - Internal"/>
    <s v="Votorantim, BR"/>
    <s v="64"/>
    <s v="12"/>
    <x v="2"/>
  </r>
  <r>
    <s v="OPP-10139"/>
    <s v="ACC-1070"/>
    <s v="Quinoa Foods"/>
    <s v="Wanda Borges"/>
    <s v="Quinoa Foods - DDM - Media - Managed Media (AOR) - 01/2026"/>
    <s v="Project - Competitive"/>
    <x v="0"/>
    <n v="1184791"/>
    <s v="BRL"/>
    <n v="406820"/>
    <s v="BRL"/>
    <s v="DDM - Data - Services &amp; Tech - Services (Data Science/Data Eng.)"/>
    <d v="2026-04-24T00:00:00"/>
    <d v="2026-02-18T00:00:00"/>
    <s v="Referral - S4 Company"/>
    <s v="São Paulo, BR"/>
    <s v="26"/>
    <s v="10"/>
    <x v="2"/>
  </r>
  <r>
    <s v="OPP-10031"/>
    <s v="ACC-1070"/>
    <s v="Quinoa Foods"/>
    <s v="Wanda Borges"/>
    <s v="Quinoa Foods - DDM - Data - Services &amp; Tech - Services (Data Science/Data Eng.) - 04/2026"/>
    <s v="Project - Competitive"/>
    <x v="2"/>
    <n v="1014586.08"/>
    <s v="BRL"/>
    <n v="255745.08"/>
    <s v="BRL"/>
    <s v="DDM - Data - Services &amp; Tech - Services (Data Science/Data Eng.)"/>
    <d v="2026-06-01T00:00:00"/>
    <d v="2025-10-27T00:00:00"/>
    <s v="Prospecting - Current Client (DEPRECATED)"/>
    <s v="São Paulo, BR"/>
    <s v="98"/>
    <s v="6"/>
    <x v="0"/>
  </r>
  <r>
    <s v="OPP-10164"/>
    <s v="ACC-1036"/>
    <s v="Rowan Energy"/>
    <s v="Pedro Martins"/>
    <s v="Rowan Energy - DDM - Commerce - Content - 03/2026"/>
    <s v="Change Order/Upsell"/>
    <x v="2"/>
    <n v="274209.96999999997"/>
    <s v="BRL"/>
    <n v="33179.410000000003"/>
    <s v="BRL"/>
    <s v="DDM - Data - Services &amp; Tech - Services (Data Science/Data Eng.)"/>
    <d v="2026-05-03T00:00:00"/>
    <d v="2026-05-03T00:00:00"/>
    <s v="Inbound - Current Client (DEPRECATED)"/>
    <s v="Votorantim, BR"/>
    <s v="40"/>
    <s v="1"/>
    <x v="0"/>
  </r>
  <r>
    <s v="OPP-10014"/>
    <s v="ACC-1036"/>
    <s v="Rowan Energy"/>
    <s v="Pedro Martins"/>
    <s v="Rowan Energy - DDM - Data - Services &amp; Tech - Services (Data Science/Data Eng.) - 03/2026"/>
    <s v="Change Order/Upsell"/>
    <x v="1"/>
    <n v="47800.800000000003"/>
    <s v="BRL"/>
    <n v="47800.800000000003"/>
    <s v="BRL"/>
    <s v="DDM - Data - Services &amp; Tech - Services (Data Science/Data Eng.)"/>
    <d v="2026-05-31T00:00:00"/>
    <d v="2025-09-17T00:00:00"/>
    <s v="Inbound - Current Client (DEPRECATED)"/>
    <s v="Votorantim, BR"/>
    <s v="148"/>
    <s v="6"/>
    <x v="0"/>
  </r>
  <r>
    <s v="OPP-10192"/>
    <s v="ACC-1034"/>
    <s v="Ume Insurance"/>
    <s v="Xavier Correia"/>
    <s v="Ume Insurance - DDM - Data - Services &amp; Tech - Services (Data Science/Data Eng.) - 05/2026"/>
    <s v="Project - Competitive"/>
    <x v="4"/>
    <n v="1528601.1600000001"/>
    <s v="BRL"/>
    <n v="567936"/>
    <s v="BRL"/>
    <s v="DDM - Data - Services &amp; Tech - Services (Data Science/Data Eng.)"/>
    <d v="2026-05-31T00:00:00"/>
    <d v="2026-03-20T00:00:00"/>
    <s v="Inbound - Website - Media.Monks (DEPRECATED)"/>
    <s v="São Carlos, BR"/>
    <s v="4"/>
    <s v="12"/>
    <x v="3"/>
  </r>
  <r>
    <s v="OPP-10182"/>
    <s v="ACC-1037"/>
    <s v="Acacia Telecom"/>
    <s v="Bruno Costa"/>
    <s v="Acacia Telecom - DDM - Data - Services &amp; Tech - Services (Analytics &amp; Support) - 04/2026"/>
    <s v="Change Order/Upsell"/>
    <x v="4"/>
    <n v="270000"/>
    <s v="BRL"/>
    <n v="270000"/>
    <s v="BRL"/>
    <s v="DDM - Media - Activation - Platforms Reselling"/>
    <d v="2026-07-31T00:00:00"/>
    <d v="2026-03-13T00:00:00"/>
    <s v="Inbound - Current Client (DEPRECATED)"/>
    <s v="São Paulo, BR"/>
    <s v="12"/>
    <s v="12"/>
    <x v="0"/>
  </r>
  <r>
    <s v="OPP-10152"/>
    <s v="ACC-1117"/>
    <s v="Company 116"/>
    <s v="Felipe Lima"/>
    <s v="Company 116 - DDM - Media - Activation - Platforms Reselling - 06/2026"/>
    <s v="Project - Competitive"/>
    <x v="4"/>
    <n v="216000"/>
    <s v="BRL"/>
    <n v="216000"/>
    <s v="BRL"/>
    <s v="DDM - Media - Activation - Platforms Reselling"/>
    <d v="2026-01-06T00:00:00"/>
    <d v="2026-02-27T00:00:00"/>
    <s v="Referral - Internal"/>
    <s v="São Paulo, BR"/>
    <s v="29"/>
    <s v="12"/>
    <x v="2"/>
  </r>
  <r>
    <s v="OPP-10153"/>
    <s v="ACC-1118"/>
    <s v="Company 117"/>
    <s v="Nicolas Teixeira"/>
    <s v="Company 117 - DDM - Media - Activation - Platforms Reselling - 03/2026"/>
    <s v="Project - Not Competitive"/>
    <x v="2"/>
    <n v="84000"/>
    <s v="BRL"/>
    <n v="84000"/>
    <s v="BRL"/>
    <s v="DDM - Media - Activation - Platforms Reselling"/>
    <d v="2026-10-03T00:00:00"/>
    <d v="2026-02-27T00:00:00"/>
    <s v="Referral - Internal"/>
    <s v="São Paulo, BR"/>
    <s v="35"/>
    <s v="12"/>
    <x v="2"/>
  </r>
  <r>
    <s v="OPP-10037"/>
    <s v="ACC-1012"/>
    <s v="Dill Delivery"/>
    <s v="Carla Mendes"/>
    <s v="Dill Delivery - DDM - Media - Activation - Platforms Reselling - 01/2026"/>
    <s v="Flex/Renewal"/>
    <x v="2"/>
    <n v="667166.55000000005"/>
    <s v="BRL"/>
    <n v="667166.55000000005"/>
    <s v="BRL"/>
    <s v="DDM - Media - Activation - Platforms Reselling"/>
    <d v="2026-01-29T00:00:00"/>
    <d v="2025-10-11T00:00:00"/>
    <s v="Inbound - Current Client (DEPRECATED)"/>
    <s v="São Paulo, BR"/>
    <s v="75"/>
    <s v="12"/>
    <x v="0"/>
  </r>
  <r>
    <s v="OPP-10219"/>
    <s v="ACC-1050"/>
    <s v="Dune Ecommerce"/>
    <s v="Queila Ribeiro"/>
    <s v="Dune Ecommerce - DDM - Media - Activation - Platforms Reselling - 06/2026"/>
    <s v="Flex/Renewal"/>
    <x v="0"/>
    <n v="3480000"/>
    <s v="BRL"/>
    <n v="1800000"/>
    <s v="BRL"/>
    <s v="DDM - Media - Activation - Platforms Reselling"/>
    <d v="2026-06-30T00:00:00"/>
    <d v="2026-01-04T00:00:00"/>
    <s v="Existing Client - Account/Growth Activity"/>
    <s v="São Paulo, BR"/>
    <s v="12"/>
    <s v="12"/>
    <x v="0"/>
  </r>
  <r>
    <s v="OPP-10219"/>
    <s v="ACC-1050"/>
    <s v="Dune Ecommerce"/>
    <s v="Queila Ribeiro"/>
    <s v="Dune Ecommerce - DDM - Media - Activation - Platforms Reselling - 06/2026"/>
    <s v="Flex/Renewal"/>
    <x v="0"/>
    <n v="3480000"/>
    <s v="BRL"/>
    <n v="1680000"/>
    <s v="BRL"/>
    <s v="DDM - Media - Activation - Platforms Reselling"/>
    <d v="2026-06-30T00:00:00"/>
    <d v="2026-01-04T00:00:00"/>
    <s v="Existing Client - Account/Growth Activity"/>
    <s v="São Paulo, BR"/>
    <s v="12"/>
    <s v="12"/>
    <x v="0"/>
  </r>
  <r>
    <s v="OPP-10105"/>
    <s v="ACC-1053"/>
    <s v="Hemlock Insurance"/>
    <s v="Bernardo Castro"/>
    <s v="Hemlock Insurance - Content - Platform - Performance, SEO, CRM &amp; Loyalty - 05/2026"/>
    <s v="Change Order/Upsell"/>
    <x v="3"/>
    <n v="151200"/>
    <s v="BRL"/>
    <n v="151200"/>
    <s v="BRL"/>
    <s v="DDM - Media - Activation - Platforms Reselling"/>
    <d v="2026-04-30T00:00:00"/>
    <d v="2026-01-22T00:00:00"/>
    <s v="Inbound - Current Client (DEPRECATED)"/>
    <s v="São Paulo, BR"/>
    <s v="15"/>
    <s v="12"/>
    <x v="0"/>
  </r>
  <r>
    <s v="OPP-10204"/>
    <s v="ACC-1003"/>
    <s v="Ibis Mobility"/>
    <s v="Bruno Costa"/>
    <s v="Ibis Mobility - DDM - Media - Activation - Platforms Reselling - 05/2026"/>
    <s v="Change Order/Upsell"/>
    <x v="1"/>
    <n v="100000"/>
    <s v="BRL"/>
    <n v="100000"/>
    <s v="BRL"/>
    <s v="DDM - Media - Activation - Platforms Reselling"/>
    <d v="2026-05-31T00:00:00"/>
    <d v="2026-03-27T00:00:00"/>
    <s v="Inbound - Current Client (DEPRECATED)"/>
    <s v="São Paulo, BR"/>
    <s v="12"/>
    <s v="12"/>
    <x v="0"/>
  </r>
  <r>
    <s v="OPP-10002"/>
    <s v="ACC-1108"/>
    <s v="Jojoba Cosmetics"/>
    <s v="Wanda Borges"/>
    <s v="Jojoba Cosmetics - DDM - Media - Activation - Platforms Reselling - 01/2026"/>
    <s v="Project - Competitive"/>
    <x v="2"/>
    <n v="85000"/>
    <s v="BRL"/>
    <n v="85000"/>
    <s v="BRL"/>
    <s v="DDM - Media - Activation - Platforms Reselling"/>
    <d v="2026-01-19T00:00:00"/>
    <d v="2025-05-30T00:00:00"/>
    <s v="Referral - Partner - Google Marketing Platform"/>
    <s v="São Paulo, BR"/>
    <s v="85"/>
    <s v="12"/>
    <x v="2"/>
  </r>
  <r>
    <s v="OPP-10218"/>
    <s v="ACC-1104"/>
    <s v="Juno Health"/>
    <s v="Diego Rocha"/>
    <s v="Juno Health - DDM - Media - Activation - Platforms Reselling - 04/2026"/>
    <s v="Project - Not Competitive"/>
    <x v="0"/>
    <n v="42000"/>
    <s v="BRL"/>
    <n v="42000"/>
    <s v="BRL"/>
    <s v="DDM - Media - Activation - Platforms Reselling"/>
    <d v="2026-04-13T00:00:00"/>
    <d v="2026-01-04T00:00:00"/>
    <s v="Referral - Internal"/>
    <s v="São Carlos, BR"/>
    <s v="12"/>
    <s v="12"/>
    <x v="2"/>
  </r>
  <r>
    <s v="OPP-10114"/>
    <s v="ACC-1031"/>
    <s v="Nova Studios"/>
    <s v="Queila Ribeiro"/>
    <s v="Nova Studios - DDM - Commerce - Content - 05/2026"/>
    <s v="Flex/Renewal"/>
    <x v="0"/>
    <n v="500000"/>
    <s v="BRL"/>
    <n v="185000"/>
    <s v="BRL"/>
    <s v="DDM - Media - Activation - Platforms Reselling"/>
    <d v="2026-04-30T00:00:00"/>
    <d v="2026-01-30T00:00:00"/>
    <s v="Inbound - Current Client (DEPRECATED)"/>
    <s v="São Paulo, BR"/>
    <s v="7"/>
    <s v="12"/>
    <x v="0"/>
  </r>
  <r>
    <s v="OPP-10114"/>
    <s v="ACC-1031"/>
    <s v="Nova Studios"/>
    <s v="Queila Ribeiro"/>
    <s v="Nova Studios - DDM - Media - Activation - Platforms Reselling - 04/2026"/>
    <s v="Flex/Renewal"/>
    <x v="0"/>
    <n v="500000"/>
    <s v="BRL"/>
    <n v="315000"/>
    <s v="BRL"/>
    <s v="DDM - Media - Activation - Platforms Reselling"/>
    <d v="2026-04-30T00:00:00"/>
    <d v="2026-01-30T00:00:00"/>
    <s v="Inbound - Current Client (DEPRECATED)"/>
    <s v="São Paulo, BR"/>
    <s v="7"/>
    <s v="12"/>
    <x v="0"/>
  </r>
  <r>
    <s v="OPP-10125"/>
    <s v="ACC-1055"/>
    <s v="Olive Hospitality"/>
    <s v="Xavier Correia"/>
    <s v="Olive Hospitality - DDM - Media - Activation - Platforms Reselling - 04/2026"/>
    <s v="Project - Not Competitive"/>
    <x v="3"/>
    <n v="362880"/>
    <s v="BRL"/>
    <n v="48000"/>
    <s v="BRL"/>
    <s v="DDM - Media - Activation - Platforms Reselling"/>
    <d v="2026-04-30T00:00:00"/>
    <d v="2026-06-02T00:00:00"/>
    <s v="Referral - Partner - Google Cloud"/>
    <s v="São Carlos, BR"/>
    <s v="36"/>
    <s v="12"/>
    <x v="2"/>
  </r>
  <r>
    <s v="OPP-10190"/>
    <s v="ACC-1047"/>
    <s v="Oregano Air"/>
    <s v="Nicolas Teixeira"/>
    <s v="Oregano Air - DDM - Media - Activation - Platforms Reselling - 05/2026"/>
    <s v="Project - Not Competitive"/>
    <x v="4"/>
    <n v="31256.14"/>
    <s v="BRL"/>
    <n v="21000"/>
    <s v="BRL"/>
    <s v="DDM - Media - Activation - Platforms Reselling"/>
    <d v="2026-05-29T00:00:00"/>
    <d v="2026-03-20T00:00:00"/>
    <s v="Inbound - Website - Media.Monks (DEPRECATED)"/>
    <s v="São Carlos, BR"/>
    <s v="4"/>
    <s v="12"/>
    <x v="3"/>
  </r>
  <r>
    <s v="OPP-10209"/>
    <s v="ACC-1082"/>
    <s v="Thyme SaaS"/>
    <s v="Xavier Correia"/>
    <s v="Thyme SaaS - DDM - Media - Activation - Platforms Reselling - 04/2026"/>
    <s v="Project - Competitive"/>
    <x v="1"/>
    <n v="1887511.68"/>
    <s v="BRL"/>
    <n v="1887511.68"/>
    <s v="BRL"/>
    <s v="DDM - Media - Activation - Platforms Reselling"/>
    <d v="2026-04-29T00:00:00"/>
    <d v="2026-03-30T00:00:00"/>
    <s v="MH Lead (DEPRECATED)"/>
    <s v="São Carlos, BR"/>
    <s v="8"/>
    <s v="12"/>
    <x v="1"/>
  </r>
  <r>
    <s v="OPP-10047"/>
    <s v="ACC-1024"/>
    <s v="Topaz Publishing"/>
    <s v="Carla Mendes"/>
    <s v="Topaz Publishing - DDM - Media - Activation - Platforms Reselling - 01/2026"/>
    <s v="Flex/Renewal"/>
    <x v="2"/>
    <n v="175660.68"/>
    <s v="BRL"/>
    <n v="175660.68"/>
    <s v="BRL"/>
    <s v="DDM - Media - Activation - Platforms Reselling"/>
    <d v="2026-01-31T00:00:00"/>
    <d v="2025-11-24T00:00:00"/>
    <s v="Inbound - Current Client (DEPRECATED)"/>
    <s v="São Paulo, BR"/>
    <s v="70"/>
    <s v="12"/>
    <x v="0"/>
  </r>
  <r>
    <s v="OPP-10126"/>
    <s v="ACC-1009"/>
    <s v="Usnea Apparel"/>
    <s v="Lucas Almeida"/>
    <s v="Usnea Apparel - DDM - Media - Activation - Platforms Reselling - 04/2026"/>
    <s v="Change Order/Upsell"/>
    <x v="1"/>
    <n v="300000"/>
    <s v="BRL"/>
    <n v="300000"/>
    <s v="BRL"/>
    <s v="DDM - Media - Activation - Platforms Reselling"/>
    <d v="2026-04-27T00:00:00"/>
    <d v="2026-09-02T00:00:00"/>
    <s v="Inbound - Current Client (DEPRECATED) "/>
    <s v="São Paulo, BR"/>
    <s v="64"/>
    <s v="12"/>
    <x v="0"/>
  </r>
  <r>
    <s v="OPP-10005"/>
    <s v="ACC-1096"/>
    <s v="Vanilla Beverages"/>
    <s v="Nicolas Teixeira"/>
    <s v="Vanilla Beverages - DDM - Media - Activation - Platforms Reselling - 05/2026"/>
    <s v="Project - Competitive"/>
    <x v="3"/>
    <n v="30000"/>
    <s v="BRL"/>
    <n v="30000"/>
    <s v="BRL"/>
    <s v="DDM - Media - Activation - Platforms Reselling"/>
    <d v="2026-05-29T00:00:00"/>
    <d v="2025-08-18T00:00:00"/>
    <s v="Referral - Internal"/>
    <s v="São Carlos, BR"/>
    <s v="92"/>
    <s v="12"/>
    <x v="2"/>
  </r>
  <r>
    <s v="OPP-10162"/>
    <s v="ACC-1021"/>
    <s v="Violet Agriculture"/>
    <s v="Carla Mendes"/>
    <s v="Violet Agriculture - Content - Platform - Performance, SEO, CRM &amp; Loyalty - 05/2026"/>
    <s v="Flex/Renewal"/>
    <x v="2"/>
    <n v="124000"/>
    <s v="BRL"/>
    <n v="124000"/>
    <s v="BRL"/>
    <s v="DDM - Media - Activation - Platforms Reselling"/>
    <d v="2026-03-25T00:00:00"/>
    <d v="2026-05-03T00:00:00"/>
    <s v="Inbound - Current Client (DEPRECATED)"/>
    <s v="São Paulo, BR"/>
    <s v="20"/>
    <s v="12"/>
    <x v="0"/>
  </r>
  <r>
    <s v="OPP-10003"/>
    <s v="ACC-1094"/>
    <s v="Xylitol Beverages"/>
    <s v="Lucas Almeida"/>
    <s v="Xylitol Beverages - DDM - Media - Activation - Platforms Reselling - 01/2026"/>
    <s v="Project - Not Competitive"/>
    <x v="2"/>
    <n v="40000"/>
    <s v="BRL"/>
    <n v="40000"/>
    <s v="BRL"/>
    <s v="DDM - Media - Activation - Platforms Reselling"/>
    <d v="2026-09-01T00:00:00"/>
    <d v="2025-07-21T00:00:00"/>
    <s v="Referral - Internal"/>
    <s v="São Paulo, BR"/>
    <s v="92"/>
    <s v="12"/>
    <x v="2"/>
  </r>
  <r>
    <s v="OPP-10069"/>
    <s v="ACC-1022"/>
    <s v="Ember Hospitality"/>
    <s v="Sofia Guimaraes"/>
    <s v="Ember Hospitality - DDM - Media - Advisory - 04/2026"/>
    <s v="Change Order/Upsell"/>
    <x v="2"/>
    <n v="996914.04"/>
    <s v="BRL"/>
    <n v="996914.04"/>
    <s v="BRL"/>
    <s v="DDM - Media - Advisory"/>
    <d v="2026-02-04T00:00:00"/>
    <d v="2025-12-12T00:00:00"/>
    <s v="Inbound - Current Client (DEPRECATED)"/>
    <s v="São Paulo, BR"/>
    <s v="12"/>
    <s v="10"/>
    <x v="0"/>
  </r>
  <r>
    <s v="OPP-10166"/>
    <s v="ACC-1066"/>
    <s v="Magnolia Retail"/>
    <s v="Carla Mendes"/>
    <s v="Magnolia Retail - DDM - Media - Advisory - 05/2026"/>
    <s v="Change Order/Upsell"/>
    <x v="1"/>
    <n v="550700.35"/>
    <s v="BRL"/>
    <n v="550700.35"/>
    <s v="BRL"/>
    <s v="DDM - Media - Advisory"/>
    <d v="2026-05-31T00:00:00"/>
    <d v="2026-06-03T00:00:00"/>
    <s v="Inbound - Current Client (DEPRECATED)"/>
    <s v="São Paulo, BR"/>
    <s v="39"/>
    <s v="6"/>
    <x v="0"/>
  </r>
  <r>
    <s v="OPP-10117"/>
    <s v="ACC-1037"/>
    <s v="Acacia Telecom"/>
    <s v="Bruno Costa"/>
    <s v="Acacia Telecom - DDM - Media - Activation - Platforms Reselling - 07/2026"/>
    <s v="Change Order/Upsell"/>
    <x v="2"/>
    <n v="11948.39"/>
    <s v="BRL"/>
    <n v="11948.39"/>
    <s v="BRL"/>
    <s v="DDM - Media - Creative"/>
    <d v="2026-03-26T00:00:00"/>
    <d v="2026-03-02T00:00:00"/>
    <s v="Inbound - Current Client (DEPRECATED)"/>
    <s v="Votorantim, BR"/>
    <s v="19"/>
    <s v="1"/>
    <x v="0"/>
  </r>
  <r>
    <s v="OPP-10254"/>
    <s v="ACC-1064"/>
    <s v="Arrow Construction"/>
    <s v="Daniel Moura"/>
    <s v="Arrow Construction - DDM - Data - Services &amp; Tech - Services (Analytics &amp; Support) - 05/2026"/>
    <s v="Change Order/Upsell"/>
    <x v="4"/>
    <n v="557613.6"/>
    <s v="BRL"/>
    <n v="557613.6"/>
    <s v="BRL"/>
    <s v="DDM - Media - Creative"/>
    <d v="2026-06-30T00:00:00"/>
    <d v="2026-04-13T00:00:00"/>
    <s v="MH Lead (DEPRECATED)"/>
    <s v="São Carlos, BR"/>
    <s v="1"/>
    <s v="12"/>
    <x v="1"/>
  </r>
  <r>
    <s v="OPP-10232"/>
    <s v="ACC-1064"/>
    <s v="Arrow Construction"/>
    <s v="Daniel Moura"/>
    <s v="Arrow Construction - DDM - Media - Managed Media (AOR) - 06/2026"/>
    <s v="Flex/Renewal"/>
    <x v="4"/>
    <n v="883034.4"/>
    <s v="BRL"/>
    <n v="883034.4"/>
    <s v="BRL"/>
    <s v="DDM - Media - Creative"/>
    <d v="2026-06-30T00:00:00"/>
    <d v="2026-08-04T00:00:00"/>
    <s v="Existing Client - Account/Growth Activity"/>
    <s v="São Carlos, BR"/>
    <s v="1"/>
    <s v="12"/>
    <x v="0"/>
  </r>
  <r>
    <s v="OPP-10027"/>
    <s v="ACC-1109"/>
    <s v="Bluefin Logistics"/>
    <s v="Lucas Almeida"/>
    <s v="Bluefin Logistics - DDM - Media - Creative - 06/2026"/>
    <s v="Retainer"/>
    <x v="1"/>
    <n v="36000"/>
    <s v="BRL"/>
    <n v="12000"/>
    <s v="BRL"/>
    <s v="DDM - Media - Creative"/>
    <d v="2026-06-29T00:00:00"/>
    <d v="2025-10-20T00:00:00"/>
    <s v="Inbound - Website - Media.Monks (DEPRECATED)"/>
    <s v="São Carlos, BR"/>
    <s v="76"/>
    <s v="12"/>
    <x v="3"/>
  </r>
  <r>
    <s v="OPP-10228"/>
    <s v="ACC-1011"/>
    <s v="Cardamom Design"/>
    <s v="Xavier Correia"/>
    <s v="Cardamom Design - DDM - Media - Creative - 06/2026"/>
    <s v="Project - Competitive"/>
    <x v="6"/>
    <n v="100000"/>
    <s v="BRL"/>
    <n v="100000"/>
    <s v="BRL"/>
    <s v="DDM - Media - Creative"/>
    <d v="2026-06-30T00:00:00"/>
    <d v="2026-06-04T00:00:00"/>
    <s v="Referral - Internal"/>
    <s v="São Carlos, BR"/>
    <s v="4"/>
    <s v="12"/>
    <x v="2"/>
  </r>
  <r>
    <s v="OPP-10110"/>
    <s v="ACC-1062"/>
    <s v="Cedar Foods"/>
    <s v="Daniel Moura"/>
    <s v="Cedar Foods - DDM - Media - Creative - 06/2026"/>
    <s v="Change Order/Upsell"/>
    <x v="1"/>
    <n v="4565828.57"/>
    <s v="BRL"/>
    <n v="1162468.52"/>
    <s v="BRL"/>
    <s v="DDM - Media - Creative"/>
    <d v="2026-06-30T00:00:00"/>
    <d v="2026-01-26T00:00:00"/>
    <s v="Inbound - Current Client (DEPRECATED)"/>
    <s v="Votorantim, BR"/>
    <s v="33"/>
    <s v="12"/>
    <x v="0"/>
  </r>
  <r>
    <s v="OPP-10154"/>
    <s v="ACC-1119"/>
    <s v="Company 118"/>
    <s v="Wanda Borges"/>
    <s v="Company 118 - DDM - Media - Creative - 05/2026"/>
    <s v="Project - Competitive"/>
    <x v="1"/>
    <n v="2344909.7999999998"/>
    <s v="BRL"/>
    <n v="768956.4"/>
    <s v="BRL"/>
    <s v="DDM - Media - Creative"/>
    <d v="2026-05-29T00:00:00"/>
    <d v="2026-02-27T00:00:00"/>
    <s v="Inbound - Website - Media.Monks (DEPRECATED)"/>
    <s v="Votorantim, BR"/>
    <s v="15"/>
    <s v="12"/>
    <x v="3"/>
  </r>
  <r>
    <s v="OPP-10173"/>
    <s v="ACC-1120"/>
    <s v="Company 119"/>
    <s v="Felipe Lima"/>
    <s v="Company 119 - DDM - Media - Creative - 05/2026"/>
    <s v="Project - Competitive"/>
    <x v="1"/>
    <n v="894521"/>
    <s v="BRL"/>
    <n v="275800.2"/>
    <s v="BRL"/>
    <s v="DDM - Media - Creative"/>
    <d v="2026-04-05T00:00:00"/>
    <d v="2026-11-03T00:00:00"/>
    <s v="Inbound - Website - Media.Monks (DEPRECATED)"/>
    <s v="São Carlos, BR"/>
    <s v="25"/>
    <s v="12"/>
    <x v="3"/>
  </r>
  <r>
    <s v="OPP-10145"/>
    <s v="ACC-1126"/>
    <s v="Company 125"/>
    <s v="Xavier Correia"/>
    <s v="Company 125 - DDM - Media - Creative - 04/2026"/>
    <s v="Project - Competitive"/>
    <x v="3"/>
    <n v="456000"/>
    <s v="BRL"/>
    <n v="36000"/>
    <s v="BRL"/>
    <s v="DDM - Media - Creative"/>
    <d v="2026-04-30T00:00:00"/>
    <d v="2026-02-20T00:00:00"/>
    <s v="Referral - Personal"/>
    <s v="Votorantim, BR"/>
    <s v="13"/>
    <s v="12"/>
    <x v="2"/>
  </r>
  <r>
    <s v="OPP-10255"/>
    <s v="ACC-1128"/>
    <s v="Company 127"/>
    <s v="Felipe Lima"/>
    <s v="Company 127 - DDM - Media - Creative - 05/2026"/>
    <s v="Project - Competitive"/>
    <x v="5"/>
    <n v="0"/>
    <s v="BRL"/>
    <n v="0"/>
    <s v="BRL"/>
    <s v="DDM - Media - Creative"/>
    <d v="2026-05-13T00:00:00"/>
    <d v="2026-04-13T00:00:00"/>
    <s v="Referral - Internal"/>
    <s v="São Carlos, BR"/>
    <s v="1"/>
    <m/>
    <x v="2"/>
  </r>
  <r>
    <s v="OPP-10036"/>
    <s v="ACC-1004"/>
    <s v="Harbor Grocers"/>
    <s v="Carla Mendes"/>
    <s v="Harbor Grocers - DDM - Media - Creative - 01/2026"/>
    <s v="Flex/Renewal"/>
    <x v="2"/>
    <n v="1038355.7999999999"/>
    <s v="BRL"/>
    <n v="241774.07999999999"/>
    <s v="BRL"/>
    <s v="DDM - Media - Creative"/>
    <d v="2026-01-14T00:00:00"/>
    <d v="2025-06-11T00:00:00"/>
    <s v="Inbound - Current Client (DEPRECATED)"/>
    <s v="São Carlos, BR"/>
    <s v="90"/>
    <s v="12"/>
    <x v="0"/>
  </r>
  <r>
    <s v="OPP-10061"/>
    <s v="ACC-1004"/>
    <s v="Harbor Grocers"/>
    <s v="Carla Mendes"/>
    <s v="Harbor Grocers - DDM - Media - Creative - 01/2026"/>
    <s v="Change Order/Upsell"/>
    <x v="2"/>
    <n v="358921.88"/>
    <s v="BRL"/>
    <n v="107937.60000000001"/>
    <s v="BRL"/>
    <s v="DDM - Media - Creative"/>
    <d v="2026-01-14T00:00:00"/>
    <d v="2025-04-12T00:00:00"/>
    <s v="Inbound - Current Client (DEPRECATED)"/>
    <s v="São Carlos, BR"/>
    <s v="90"/>
    <s v="12"/>
    <x v="0"/>
  </r>
  <r>
    <s v="OPP-10084"/>
    <s v="ACC-1004"/>
    <s v="Harbor Grocers"/>
    <s v="Carla Mendes"/>
    <s v="Harbor Grocers - DDM - Commerce - Content - 01/2026"/>
    <s v="Change Order/Upsell"/>
    <x v="2"/>
    <n v="45500"/>
    <s v="BRL"/>
    <n v="17600"/>
    <s v="BRL"/>
    <s v="DDM - Media - Creative"/>
    <d v="2026-01-14T00:00:00"/>
    <d v="2025-12-23T00:00:00"/>
    <s v="Inbound - Current Client (DEPRECATED)"/>
    <s v="São Carlos, BR"/>
    <s v="90"/>
    <s v="2"/>
    <x v="0"/>
  </r>
  <r>
    <s v="OPP-10187"/>
    <s v="ACC-1004"/>
    <s v="Harbor Grocers"/>
    <s v="Carla Mendes"/>
    <s v="Harbor Grocers - DDM - Media - Creative - 01/2026"/>
    <s v="Change Order/Upsell"/>
    <x v="2"/>
    <n v="45500"/>
    <s v="BRL"/>
    <n v="17600"/>
    <s v="BRL"/>
    <s v="DDM - Media - Creative"/>
    <d v="2026-08-04T00:00:00"/>
    <d v="2026-03-19T00:00:00"/>
    <s v="Inbound - Current Client (DEPRECATED)"/>
    <s v="São Carlos, BR"/>
    <s v="6"/>
    <s v="2"/>
    <x v="0"/>
  </r>
  <r>
    <s v="OPP-10062"/>
    <s v="ACC-1004"/>
    <s v="Harbor Grocers"/>
    <s v="Carla Mendes"/>
    <s v="Harbor Grocers - DDM - Commerce - Content - 04/2026"/>
    <s v="Change Order/Upsell"/>
    <x v="2"/>
    <n v="10000"/>
    <s v="BRL"/>
    <n v="10000"/>
    <s v="BRL"/>
    <s v="DDM - Media - Creative"/>
    <d v="2026-08-01T00:00:00"/>
    <d v="2025-04-12T00:00:00"/>
    <s v="Inbound - Current Client (DEPRECATED)"/>
    <s v="São Carlos, BR"/>
    <s v="96"/>
    <s v="1"/>
    <x v="0"/>
  </r>
  <r>
    <s v="OPP-10046"/>
    <s v="ACC-1049"/>
    <s v="Hazel Construction"/>
    <s v="Bernardo Castro"/>
    <s v="Hazel Construction - DDM - Media - Managed Media (AOR) - 03/2026"/>
    <s v="Change Order/Upsell"/>
    <x v="2"/>
    <n v="604944.24"/>
    <s v="BRL"/>
    <n v="179794.32"/>
    <s v="BRL"/>
    <s v="DDM - Media - Creative"/>
    <d v="2026-02-25T00:00:00"/>
    <d v="2025-11-17T00:00:00"/>
    <s v="Inbound - Current Client (DEPRECATED)"/>
    <s v="São Carlos, BR"/>
    <s v="48"/>
    <s v="12"/>
    <x v="0"/>
  </r>
  <r>
    <s v="OPP-10060"/>
    <s v="ACC-1005"/>
    <s v="Helios Tech"/>
    <s v="Lucas Almeida"/>
    <s v="Helios Tech - DDM - Media - Creative - 04/2026"/>
    <s v="Project - Competitive"/>
    <x v="0"/>
    <n v="993642.36"/>
    <s v="BRL"/>
    <n v="343152"/>
    <s v="BRL"/>
    <s v="DDM - Media - Creative"/>
    <d v="2026-10-04T00:00:00"/>
    <d v="2025-03-12T00:00:00"/>
    <s v="Don't Know/Other (DEPRECATED)"/>
    <s v="Votorantim, BR"/>
    <s v="21"/>
    <s v="12"/>
    <x v="1"/>
  </r>
  <r>
    <s v="OPP-10168"/>
    <s v="ACC-1069"/>
    <s v="Honeysuckle Travel"/>
    <s v="Bruno Costa"/>
    <s v="Honeysuckle Travel - DDM - Media - Creative - 05/2026"/>
    <s v="Flex/Renewal"/>
    <x v="4"/>
    <n v="809225.34"/>
    <s v="BRL"/>
    <n v="215611.5"/>
    <s v="BRL"/>
    <s v="DDM - Media - Creative"/>
    <d v="2026-05-31T00:00:00"/>
    <d v="2026-06-03T00:00:00"/>
    <s v="Inbound - Current Client (DEPRECATED)"/>
    <s v="São Carlos, BR"/>
    <s v="18"/>
    <s v="6"/>
    <x v="0"/>
  </r>
  <r>
    <s v="OPP-10170"/>
    <s v="ACC-1088"/>
    <s v="Indigo Utilities"/>
    <s v="Carla Mendes"/>
    <s v="Indigo Utilities - DDM - Media - Creative - 03/2026"/>
    <s v="Flex/Renewal"/>
    <x v="2"/>
    <n v="155444.76"/>
    <s v="BRL"/>
    <n v="155444.76"/>
    <s v="BRL"/>
    <s v="DDM - Media - Creative"/>
    <d v="2026-09-03T00:00:00"/>
    <d v="2026-09-03T00:00:00"/>
    <s v="Inbound - Current Client (DEPRECATED)"/>
    <s v="São Carlos, BR"/>
    <s v="36"/>
    <s v="3"/>
    <x v="0"/>
  </r>
  <r>
    <s v="OPP-10050"/>
    <s v="ACC-1045"/>
    <s v="Jasper Security"/>
    <s v="Felipe Lima"/>
    <s v="Jasper Security - DDM - Media - Creative - 05/2026"/>
    <s v="Project - Competitive"/>
    <x v="3"/>
    <n v="6208423.2000000002"/>
    <s v="BRL"/>
    <n v="1014954.24"/>
    <s v="BRL"/>
    <s v="DDM - Media - Creative"/>
    <d v="2026-05-13T00:00:00"/>
    <d v="2025-11-26T00:00:00"/>
    <s v="Referral - Internal"/>
    <s v="Votorantim, BR"/>
    <s v="64"/>
    <s v="12"/>
    <x v="2"/>
  </r>
  <r>
    <s v="OPP-10160"/>
    <s v="ACC-1065"/>
    <s v="Larkspur Foods"/>
    <s v="Joao Pereira"/>
    <s v="Larkspur Foods - DDM - Media - Creative - 05/2026"/>
    <s v="Project - Competitive"/>
    <x v="1"/>
    <n v="265000"/>
    <s v="BRL"/>
    <n v="4000"/>
    <s v="BRL"/>
    <s v="DDM - Media - Creative"/>
    <d v="2026-04-05T00:00:00"/>
    <d v="2026-03-03T00:00:00"/>
    <s v="Referral - Personal"/>
    <s v="São Carlos, BR"/>
    <s v="19"/>
    <s v="12"/>
    <x v="2"/>
  </r>
  <r>
    <s v="OPP-10144"/>
    <s v="ACC-1041"/>
    <s v="Linden Foods"/>
    <s v="Amanda Rios"/>
    <s v="Linden Foods - DDM - Media - Creative - 05/2026"/>
    <s v="Flex/Renewal"/>
    <x v="3"/>
    <n v="1926466.8"/>
    <s v="BRL"/>
    <n v="129525.6"/>
    <s v="BRL"/>
    <s v="DDM - Media - Creative"/>
    <d v="2026-05-31T00:00:00"/>
    <d v="2026-02-20T00:00:00"/>
    <s v="Inbound - Current Client (DEPRECATED)"/>
    <s v="São Carlos, BR"/>
    <s v="26"/>
    <s v="12"/>
    <x v="0"/>
  </r>
  <r>
    <s v="OPP-10091"/>
    <s v="ACC-1084"/>
    <s v="Nigella Security"/>
    <s v="Bruno Costa"/>
    <s v="Nigella Security - DDM - Media - Managed Media (AOR) - 02/2026"/>
    <s v="Flex/Renewal"/>
    <x v="2"/>
    <n v="3156666.46"/>
    <s v="BRL"/>
    <n v="965866.44"/>
    <s v="BRL"/>
    <s v="DDM - Media - Creative"/>
    <d v="2026-02-26T00:00:00"/>
    <d v="2026-12-01T00:00:00"/>
    <s v="Inbound - Current Client (DEPRECATED)"/>
    <s v="São Carlos, BR"/>
    <s v="47"/>
    <s v="12"/>
    <x v="0"/>
  </r>
  <r>
    <s v="OPP-10058"/>
    <s v="ACC-1095"/>
    <s v="Nimbus Media"/>
    <s v="Yasmin Nogueira"/>
    <s v="Nimbus Media - DDM - Media - Creative - 05/2026"/>
    <s v="Project - Competitive"/>
    <x v="3"/>
    <n v="2627267.83"/>
    <s v="BRL"/>
    <n v="290635.8"/>
    <s v="BRL"/>
    <s v="DDM - Media - Creative"/>
    <d v="2026-11-05T00:00:00"/>
    <d v="2025-01-12T00:00:00"/>
    <s v="Referral - Personal"/>
    <s v="Votorantim, BR"/>
    <s v="54"/>
    <s v="12"/>
    <x v="2"/>
  </r>
  <r>
    <s v="OPP-10001"/>
    <s v="ACC-1031"/>
    <s v="Nova Studios"/>
    <s v="Queila Ribeiro"/>
    <s v="Nova Studios - DDM - Media - Creative - 04/2026"/>
    <s v="Change Order/Upsell"/>
    <x v="0"/>
    <n v="3043949.95"/>
    <s v="BRL"/>
    <n v="738948.26"/>
    <s v="BRL"/>
    <s v="DDM - Media - Creative"/>
    <d v="2026-04-30T00:00:00"/>
    <d v="2025-05-19T00:00:00"/>
    <s v="Inbound - Current Client (DEPRECATED)"/>
    <s v="São Carlos, BR"/>
    <s v="130"/>
    <s v="12"/>
    <x v="0"/>
  </r>
  <r>
    <s v="OPP-10064"/>
    <s v="ACC-1031"/>
    <s v="Nova Studios"/>
    <s v="Queila Ribeiro"/>
    <s v="Nova Studios - DDM - Commerce - Content - 07/2026"/>
    <s v="Flex/Renewal"/>
    <x v="0"/>
    <n v="4235159.34"/>
    <s v="BRL"/>
    <n v="459539.83"/>
    <s v="BRL"/>
    <s v="DDM - Media - Creative"/>
    <d v="2026-04-17T00:00:00"/>
    <d v="2025-08-12T00:00:00"/>
    <s v="Inbound - Current Client (DEPRECATED)"/>
    <s v="São Carlos, BR"/>
    <s v="26"/>
    <s v="6"/>
    <x v="0"/>
  </r>
  <r>
    <s v="OPP-10070"/>
    <s v="ACC-1031"/>
    <s v="Nova Studios"/>
    <s v="Queila Ribeiro"/>
    <s v="Nova Studios - DDM - Data - Services &amp; Tech - Services (Analytics &amp; Support) - 04/2026"/>
    <s v="Change Order/Upsell"/>
    <x v="0"/>
    <n v="594455.31000000006"/>
    <s v="BRL"/>
    <n v="206541.72"/>
    <s v="BRL"/>
    <s v="DDM - Media - Creative"/>
    <d v="2026-04-30T00:00:00"/>
    <d v="2025-12-15T00:00:00"/>
    <s v="Inbound - Current Client (DEPRECATED)"/>
    <s v="São Carlos, BR"/>
    <s v="26"/>
    <s v="3"/>
    <x v="0"/>
  </r>
  <r>
    <s v="OPP-10080"/>
    <s v="ACC-1031"/>
    <s v="Nova Studios"/>
    <s v="Queila Ribeiro"/>
    <s v="Nova Studios - DDM - Media - Activation - Platforms Reselling - 04/2026"/>
    <s v="Change Order/Upsell"/>
    <x v="2"/>
    <n v="39230.949999999997"/>
    <s v="BRL"/>
    <n v="39230.949999999997"/>
    <s v="BRL"/>
    <s v="DDM - Media - Creative"/>
    <d v="2026-03-02T00:00:00"/>
    <d v="2025-12-19T00:00:00"/>
    <s v="Inbound - Current Client (DEPRECATED)"/>
    <s v="São Carlos, BR"/>
    <s v="70"/>
    <s v="1"/>
    <x v="0"/>
  </r>
  <r>
    <s v="OPP-10011"/>
    <s v="ACC-1025"/>
    <s v="Nutmeg Gaming"/>
    <s v="Amanda Rios"/>
    <s v="Nutmeg Gaming - DDM - Media - Creative - 02/2026"/>
    <s v="Change Order/Upsell"/>
    <x v="2"/>
    <n v="180000"/>
    <s v="BRL"/>
    <n v="108000"/>
    <s v="BRL"/>
    <s v="DDM - Media - Creative"/>
    <d v="2026-09-02T00:00:00"/>
    <d v="2025-08-29T00:00:00"/>
    <s v="Inbound - Current Client (DEPRECATED)"/>
    <s v="São Carlos, BR"/>
    <s v="64"/>
    <s v="12"/>
    <x v="0"/>
  </r>
  <r>
    <s v="OPP-10131"/>
    <s v="ACC-1033"/>
    <s v="Onyx Utilities"/>
    <s v="Amanda Rios"/>
    <s v="Onyx Utilities - DDM - Media - Creative - 05/2026"/>
    <s v="Change Order/Upsell"/>
    <x v="1"/>
    <n v="1096669.2"/>
    <s v="BRL"/>
    <n v="1096669.2"/>
    <s v="BRL"/>
    <s v="DDM - Media - Creative"/>
    <d v="2026-05-31T00:00:00"/>
    <d v="2026-12-02T00:00:00"/>
    <s v="Inbound - Current Client (DEPRECATED)"/>
    <s v="Votorantim, BR"/>
    <s v="47"/>
    <s v="12"/>
    <x v="0"/>
  </r>
  <r>
    <s v="OPP-10124"/>
    <s v="ACC-1040"/>
    <s v="Quartz Pharma"/>
    <s v="Sofia Guimaraes"/>
    <s v="Quartz Pharma -  - 06/2026"/>
    <s v="Change Order/Upsell"/>
    <x v="4"/>
    <n v="845252.85"/>
    <s v="BRL"/>
    <n v="704595.14"/>
    <s v="BRL"/>
    <s v="DDM - Media - Creative"/>
    <d v="2026-06-30T00:00:00"/>
    <d v="2026-06-02T00:00:00"/>
    <s v="Inbound - Current Client (DEPRECATED)"/>
    <s v="São Carlos, BR"/>
    <s v="36"/>
    <s v="12"/>
    <x v="0"/>
  </r>
  <r>
    <s v="OPP-10124"/>
    <s v="ACC-1040"/>
    <s v="Quartz Pharma"/>
    <s v="Sofia Guimaraes"/>
    <s v="Quartz Pharma - Content - Social - AOR - 06/2026"/>
    <s v="Change Order/Upsell"/>
    <x v="4"/>
    <n v="845252.85"/>
    <s v="BRL"/>
    <n v="19950"/>
    <s v="BRL"/>
    <s v="DDM - Media - Creative"/>
    <d v="2026-06-30T00:00:00"/>
    <d v="2026-06-02T00:00:00"/>
    <s v="Inbound - Current Client (DEPRECATED)"/>
    <s v="São Carlos, BR"/>
    <s v="36"/>
    <s v="12"/>
    <x v="0"/>
  </r>
  <r>
    <s v="OPP-10164"/>
    <s v="ACC-1036"/>
    <s v="Rowan Energy"/>
    <s v="Pedro Martins"/>
    <s v="Rowan Energy - DDM - Data - Services &amp; Tech - Services (Data Science/Data Eng.) - 05/2026"/>
    <s v="Change Order/Upsell"/>
    <x v="2"/>
    <n v="274209.96999999997"/>
    <s v="BRL"/>
    <n v="30382.46"/>
    <s v="BRL"/>
    <s v="DDM - Media - Creative"/>
    <d v="2026-05-03T00:00:00"/>
    <d v="2026-05-03T00:00:00"/>
    <s v="Inbound - Current Client (DEPRECATED)"/>
    <s v="Votorantim, BR"/>
    <s v="40"/>
    <s v="1"/>
    <x v="0"/>
  </r>
  <r>
    <s v="OPP-10044"/>
    <s v="ACC-1063"/>
    <s v="Saffron Fashion"/>
    <s v="Ana Silva"/>
    <s v="Saffron Fashion - DDM - Media - Managed Media (AOR) - 01/2026"/>
    <s v="Change Order/Upsell"/>
    <x v="2"/>
    <n v="2518147.83"/>
    <s v="BRL"/>
    <n v="550471.68000000005"/>
    <s v="BRL"/>
    <s v="DDM - Media - Creative"/>
    <d v="2026-12-01T00:00:00"/>
    <d v="2025-11-14T00:00:00"/>
    <s v="Inbound - Current Client (DEPRECATED)"/>
    <s v="São Carlos, BR"/>
    <s v="92"/>
    <s v="12"/>
    <x v="0"/>
  </r>
  <r>
    <s v="OPP-10072"/>
    <s v="ACC-1063"/>
    <s v="Saffron Fashion"/>
    <s v="Ana Silva"/>
    <s v="Saffron Fashion - DDM - Media - Managed Media (AOR) - 01/2026"/>
    <s v="Flex/Renewal"/>
    <x v="2"/>
    <n v="6770269.9100000001"/>
    <s v="BRL"/>
    <n v="911038.48"/>
    <s v="BRL"/>
    <s v="DDM - Media - Creative"/>
    <d v="2026-01-27T00:00:00"/>
    <d v="2025-12-15T00:00:00"/>
    <s v="Inbound - Current Client (DEPRECATED)"/>
    <s v="São Carlos, BR"/>
    <s v="77"/>
    <s v="12"/>
    <x v="0"/>
  </r>
  <r>
    <s v="OPP-10023"/>
    <s v="ACC-1038"/>
    <s v="Sumac Telecom"/>
    <s v="Pedro Martins"/>
    <s v="Sumac Telecom - DDM - Media - Creative - 03/2026"/>
    <s v="Flex/Renewal"/>
    <x v="2"/>
    <n v="1758176.04"/>
    <s v="BRL"/>
    <n v="253104"/>
    <s v="BRL"/>
    <s v="DDM - Media - Creative"/>
    <d v="2026-09-03T00:00:00"/>
    <d v="2025-09-10T00:00:00"/>
    <s v="Inbound - Current Client (DEPRECATED)"/>
    <s v="Votorantim, BR"/>
    <s v="36"/>
    <s v="12"/>
    <x v="0"/>
  </r>
  <r>
    <s v="OPP-10213"/>
    <s v="ACC-1006"/>
    <s v="Willow Beauty"/>
    <s v="Felipe Lima"/>
    <s v="Willow Beauty - Content - Platform - Performance, SEO, CRM &amp; Loyalty - 06/2026"/>
    <s v="Change Order/Upsell"/>
    <x v="0"/>
    <n v="139766.74"/>
    <s v="BRL"/>
    <n v="75060.7"/>
    <s v="BRL"/>
    <s v="DDM - Media - Creative"/>
    <d v="2026-04-29T00:00:00"/>
    <d v="2026-03-30T00:00:00"/>
    <s v="Referral - S4 Company"/>
    <s v="Votorantim, BR"/>
    <s v="14"/>
    <s v="1"/>
    <x v="2"/>
  </r>
  <r>
    <s v="OPP-10143"/>
    <s v="ACC-1028"/>
    <s v="Xenon Realty"/>
    <s v="Bernardo Castro"/>
    <s v="Xenon Realty - DDM - Media - Creative - 05/2026"/>
    <s v="Change Order/Upsell"/>
    <x v="3"/>
    <n v="694094.88"/>
    <s v="BRL"/>
    <n v="401671.67999999999"/>
    <s v="BRL"/>
    <s v="DDM - Media - Creative"/>
    <d v="2026-05-31T00:00:00"/>
    <d v="2026-02-19T00:00:00"/>
    <s v="Inbound - Current Client (DEPRECATED)"/>
    <s v="Votorantim, BR"/>
    <s v="33"/>
    <s v="12"/>
    <x v="0"/>
  </r>
  <r>
    <s v="OPP-10239"/>
    <s v="ACC-1028"/>
    <s v="Xenon Realty"/>
    <s v="Bernardo Castro"/>
    <s v="Xenon Realty - DDM - Media - Creative - 05/2026"/>
    <s v="Change Order/Upsell"/>
    <x v="3"/>
    <n v="57594.2"/>
    <s v="BRL"/>
    <n v="57594.2"/>
    <s v="BRL"/>
    <s v="DDM - Media - Creative"/>
    <d v="2026-09-05T00:00:00"/>
    <d v="2026-09-04T00:00:00"/>
    <s v="Existing Client - Account/Growth Activity"/>
    <s v="Votorantim, BR"/>
    <s v="4"/>
    <s v="2"/>
    <x v="0"/>
  </r>
  <r>
    <s v="OPP-10051"/>
    <s v="ACC-1044"/>
    <s v="Yerba Studios"/>
    <s v="Carla Mendes"/>
    <s v="Yerba Studios - DDM - Media - Creative - 01/2026"/>
    <s v="Flex/Renewal"/>
    <x v="2"/>
    <n v="760000"/>
    <s v="BRL"/>
    <n v="164250"/>
    <s v="BRL"/>
    <s v="DDM - Media - Creative"/>
    <d v="2026-01-27T00:00:00"/>
    <d v="2025-11-26T00:00:00"/>
    <s v="Inbound - Current Client (DEPRECATED)"/>
    <s v="São Carlos, BR"/>
    <s v="77"/>
    <s v="12"/>
    <x v="0"/>
  </r>
  <r>
    <s v="OPP-10076"/>
    <s v="ACC-1044"/>
    <s v="Yerba Studios"/>
    <s v="Carla Mendes"/>
    <s v="Yerba Studios - DDM - Media - Creative - 01/2026"/>
    <s v="Change Order/Upsell"/>
    <x v="2"/>
    <n v="10784"/>
    <s v="BRL"/>
    <n v="5392"/>
    <s v="BRL"/>
    <s v="DDM - Media - Creative"/>
    <d v="2026-01-27T00:00:00"/>
    <d v="2025-12-18T00:00:00"/>
    <s v="Inbound - Current Client (DEPRECATED)"/>
    <s v="São Carlos, BR"/>
    <s v="77"/>
    <s v="12"/>
    <x v="0"/>
  </r>
  <r>
    <s v="OPP-10048"/>
    <s v="ACC-1106"/>
    <s v="Yucca Farms"/>
    <s v="Joao Pereira"/>
    <s v="Yucca Farms - DDM - Media - Creative - 03/2026"/>
    <s v="Project - Competitive"/>
    <x v="2"/>
    <n v="195525"/>
    <s v="BRL"/>
    <n v="51574.92"/>
    <s v="BRL"/>
    <s v="DDM - Media - Creative"/>
    <d v="2026-03-31T00:00:00"/>
    <d v="2025-11-26T00:00:00"/>
    <s v="Referral - Personal"/>
    <s v="Votorantim, BR"/>
    <s v="14"/>
    <s v="3"/>
    <x v="2"/>
  </r>
  <r>
    <s v="OPP-10172"/>
    <s v="ACC-1085"/>
    <s v="Yumberry Mobile"/>
    <s v="Felipe Lima"/>
    <s v="Yumberry Mobile - DDM - Media - Creative - 05/2026"/>
    <s v="Project - Competitive"/>
    <x v="3"/>
    <n v="835250.32000000007"/>
    <s v="BRL"/>
    <n v="278294.40000000002"/>
    <s v="BRL"/>
    <s v="DDM - Media - Creative"/>
    <d v="2026-05-13T00:00:00"/>
    <d v="2026-11-03T00:00:00"/>
    <s v="Referral - Internal"/>
    <s v="São Carlos, BR"/>
    <s v="25"/>
    <s v="12"/>
    <x v="2"/>
  </r>
  <r>
    <s v="OPP-10008"/>
    <s v="ACC-1015"/>
    <s v="Zinnia Apparel"/>
    <s v="Ana Silva"/>
    <s v="Zinnia Apparel - DDM - Media - Creative - 03/2026"/>
    <s v="Flex/Renewal"/>
    <x v="2"/>
    <n v="2706200.27"/>
    <s v="BRL"/>
    <n v="70270.64"/>
    <s v="BRL"/>
    <s v="DDM - Media - Creative"/>
    <d v="2026-03-31T00:00:00"/>
    <d v="2025-08-22T00:00:00"/>
    <s v="Inbound - Current Client (DEPRECATED)"/>
    <s v="São Carlos, BR"/>
    <s v="14"/>
    <s v="12"/>
    <x v="0"/>
  </r>
  <r>
    <s v="OPP-10150"/>
    <s v="ACC-1037"/>
    <s v="Acacia Telecom"/>
    <s v="Bruno Costa"/>
    <s v="Acacia Telecom - Content - Social - AOR - 03/2026"/>
    <s v="Change Order/Upsell"/>
    <x v="0"/>
    <n v="601599.48"/>
    <s v="BRL"/>
    <n v="474051.84000000003"/>
    <s v="BRL"/>
    <s v="DDM - Media - Managed Media (AOR)"/>
    <d v="2026-04-30T00:00:00"/>
    <d v="2026-02-26T00:00:00"/>
    <s v="Inbound - Current Client (DEPRECATED)"/>
    <s v="São Carlos, BR"/>
    <s v="42"/>
    <s v="12"/>
    <x v="0"/>
  </r>
  <r>
    <s v="OPP-10175"/>
    <s v="ACC-1007"/>
    <s v="Anise Beauty"/>
    <s v="Daniel Moura"/>
    <s v="Anise Beauty - DDM - Media - Managed Media (AOR) - 05/2026"/>
    <s v="Change Order/Upsell"/>
    <x v="3"/>
    <n v="1302107.45"/>
    <s v="BRL"/>
    <n v="1036486.24"/>
    <s v="BRL"/>
    <s v="DDM - Media - Managed Media (AOR)"/>
    <d v="2026-05-31T00:00:00"/>
    <d v="2026-11-03T00:00:00"/>
    <s v="Don't Know/Other (DEPRECATED)"/>
    <s v="Votorantim, BR"/>
    <s v="15"/>
    <s v="12"/>
    <x v="1"/>
  </r>
  <r>
    <s v="OPP-10015"/>
    <s v="ACC-1064"/>
    <s v="Arrow Construction"/>
    <s v="Daniel Moura"/>
    <s v="Arrow Construction - DDM - Media - Managed Media (AOR) - 01/2026"/>
    <s v="Flex/Renewal"/>
    <x v="2"/>
    <n v="106500"/>
    <s v="BRL"/>
    <n v="106500"/>
    <s v="BRL"/>
    <s v="DDM - Media - Managed Media (AOR)"/>
    <d v="2026-01-22T00:00:00"/>
    <d v="2025-09-19T00:00:00"/>
    <s v="Inbound - Current Client (DEPRECATED)"/>
    <s v="São Carlos, BR"/>
    <s v="82"/>
    <s v="12"/>
    <x v="0"/>
  </r>
  <r>
    <s v="OPP-10026"/>
    <s v="ACC-1064"/>
    <s v="Arrow Construction"/>
    <s v="Daniel Moura"/>
    <s v="Arrow Construction - DDM - Media - Managed Media (AOR) - 01/2026"/>
    <s v="Flex/Renewal"/>
    <x v="2"/>
    <n v="247500"/>
    <s v="BRL"/>
    <n v="247500"/>
    <s v="BRL"/>
    <s v="DDM - Media - Managed Media (AOR)"/>
    <d v="2026-01-31T00:00:00"/>
    <d v="2025-10-16T00:00:00"/>
    <s v="Inbound - Current Client (DEPRECATED)"/>
    <s v="São Carlos, BR"/>
    <s v="71"/>
    <s v="3"/>
    <x v="0"/>
  </r>
  <r>
    <s v="OPP-10161"/>
    <s v="ACC-1064"/>
    <s v="Arrow Construction"/>
    <s v="Daniel Moura"/>
    <s v="Arrow Construction - DDM - Media - Managed Media (AOR) - 01/2026"/>
    <s v="Change Order/Upsell"/>
    <x v="0"/>
    <n v="1438053.84"/>
    <s v="BRL"/>
    <n v="1438053.84"/>
    <s v="BRL"/>
    <s v="DDM - Media - Managed Media (AOR)"/>
    <d v="2026-04-30T00:00:00"/>
    <d v="2026-04-03T00:00:00"/>
    <s v="Inbound - Current Client (DEPRECATED)"/>
    <s v="Votorantim, BR"/>
    <s v="41"/>
    <s v="12"/>
    <x v="0"/>
  </r>
  <r>
    <s v="OPP-10134"/>
    <s v="ACC-1064"/>
    <s v="Arrow Construction"/>
    <s v="Daniel Moura"/>
    <s v="Arrow Construction - DDM - Media - Managed Media (AOR) - 01/2026"/>
    <s v="Change Order/Upsell"/>
    <x v="1"/>
    <n v="1429074.08"/>
    <s v="BRL"/>
    <n v="117901.4"/>
    <s v="BRL"/>
    <s v="DDM - Media - Managed Media (AOR)"/>
    <d v="2026-05-29T00:00:00"/>
    <d v="2026-02-13T00:00:00"/>
    <s v="Inbound - Current Client (DEPRECATED)"/>
    <s v="São Carlos, BR"/>
    <s v="33"/>
    <s v="12"/>
    <x v="0"/>
  </r>
  <r>
    <s v="OPP-10053"/>
    <s v="ACC-1064"/>
    <s v="Arrow Construction"/>
    <s v="Daniel Moura"/>
    <s v="Arrow Construction - DDM - CRM - Other - 05/2026"/>
    <s v="Change Order/Upsell"/>
    <x v="0"/>
    <n v="235251.12000000002"/>
    <s v="BRL"/>
    <n v="187259.89"/>
    <s v="BRL"/>
    <s v="DDM - Media - Managed Media (AOR)"/>
    <d v="2026-05-31T00:00:00"/>
    <d v="2025-11-28T00:00:00"/>
    <s v="Inbound - Current Client (DEPRECATED)"/>
    <s v="Votorantim, BR"/>
    <s v="69"/>
    <s v="12"/>
    <x v="0"/>
  </r>
  <r>
    <s v="OPP-10028"/>
    <s v="ACC-1064"/>
    <s v="Arrow Construction"/>
    <s v="Daniel Moura"/>
    <s v="Arrow Construction - DDM - Media - Managed Media (AOR) - 04/2026"/>
    <s v="Change Order/Upsell"/>
    <x v="2"/>
    <n v="112013.46"/>
    <s v="BRL"/>
    <n v="112013.46"/>
    <s v="BRL"/>
    <s v="DDM - Media - Managed Media (AOR)"/>
    <d v="2026-01-30T00:00:00"/>
    <d v="2025-10-23T00:00:00"/>
    <s v="Inbound - Current Client (DEPRECATED)"/>
    <s v="São Carlos, BR"/>
    <s v="74"/>
    <s v="6"/>
    <x v="0"/>
  </r>
  <r>
    <s v="OPP-10018"/>
    <s v="ACC-1064"/>
    <s v="Arrow Construction"/>
    <s v="Daniel Moura"/>
    <s v="Arrow Construction -  - 06/2026"/>
    <s v="Change Order/Upsell"/>
    <x v="2"/>
    <n v="88500"/>
    <s v="BRL"/>
    <n v="88500"/>
    <s v="BRL"/>
    <s v="DDM - Media - Managed Media (AOR)"/>
    <d v="2026-01-22T00:00:00"/>
    <d v="2025-09-26T00:00:00"/>
    <s v="Inbound - Current Client (DEPRECATED)"/>
    <s v="São Carlos, BR"/>
    <s v="82"/>
    <s v="12"/>
    <x v="0"/>
  </r>
  <r>
    <s v="OPP-10202"/>
    <s v="ACC-1064"/>
    <s v="Arrow Construction"/>
    <s v="Daniel Moura"/>
    <s v="Arrow Construction - DDM - Media - Creative - 06/2026"/>
    <s v="Change Order/Upsell"/>
    <x v="6"/>
    <n v="0"/>
    <s v="BRL"/>
    <n v="0"/>
    <s v="BRL"/>
    <s v="DDM - Media - Managed Media (AOR)"/>
    <d v="2026-06-30T00:00:00"/>
    <d v="2026-03-26T00:00:00"/>
    <s v="MH Lead (DEPRECATED)"/>
    <s v="Votorantim, BR"/>
    <s v="19"/>
    <s v="12"/>
    <x v="1"/>
  </r>
  <r>
    <s v="OPP-10040"/>
    <s v="ACC-1059"/>
    <s v="Basalt Mining"/>
    <s v="Amanda Rios"/>
    <s v="Basalt Mining - DDM - Media - Managed Media (AOR) - 01/2026"/>
    <s v="Flex/Renewal"/>
    <x v="2"/>
    <n v="253579.55"/>
    <s v="BRL"/>
    <n v="101137.49"/>
    <s v="BRL"/>
    <s v="DDM - Media - Managed Media (AOR)"/>
    <d v="2026-01-31T00:00:00"/>
    <d v="2025-11-14T00:00:00"/>
    <s v="Inbound - Current Client (DEPRECATED)"/>
    <s v="São Carlos, BR"/>
    <s v="69"/>
    <s v="1"/>
    <x v="0"/>
  </r>
  <r>
    <s v="OPP-10090"/>
    <s v="ACC-1059"/>
    <s v="Basalt Mining"/>
    <s v="Amanda Rios"/>
    <s v="Basalt Mining - DDM - Media - Managed Media (AOR) - 05/2026"/>
    <s v="Flex/Renewal"/>
    <x v="3"/>
    <n v="2132708.1"/>
    <s v="BRL"/>
    <n v="303403.38"/>
    <s v="BRL"/>
    <s v="DDM - Media - Managed Media (AOR)"/>
    <d v="2026-05-31T00:00:00"/>
    <d v="2026-12-01T00:00:00"/>
    <s v="Inbound - Current Client (DEPRECATED)"/>
    <s v="São Carlos, BR"/>
    <s v="8"/>
    <s v="12"/>
    <x v="0"/>
  </r>
  <r>
    <s v="OPP-10259"/>
    <s v="ACC-1002"/>
    <s v="Birch Studios"/>
    <s v="Gabriela Nunes"/>
    <s v="Birch Studios - DDM - Media - Managed Media (AOR) - 05/2026"/>
    <m/>
    <x v="5"/>
    <n v="370000"/>
    <s v="USD"/>
    <n v="370000"/>
    <s v="USD"/>
    <s v="DDM - Media - Managed Media (AOR)"/>
    <d v="2026-05-31T00:00:00"/>
    <d v="2026-04-14T00:00:00"/>
    <s v="Existing Client - Account/Growth Activity"/>
    <s v="São Carlos, BR"/>
    <s v="1"/>
    <s v="12"/>
    <x v="0"/>
  </r>
  <r>
    <s v="OPP-10027"/>
    <s v="ACC-1109"/>
    <s v="Bluefin Logistics"/>
    <s v="Lucas Almeida"/>
    <s v="Bluefin Logistics - DDM - Media - Managed Media (AOR) - 06/2026"/>
    <s v="Retainer"/>
    <x v="1"/>
    <n v="36000"/>
    <s v="BRL"/>
    <n v="12000"/>
    <s v="BRL"/>
    <s v="DDM - Media - Managed Media (AOR)"/>
    <d v="2026-06-29T00:00:00"/>
    <d v="2025-10-20T00:00:00"/>
    <s v="Inbound - Website - Media.Monks (DEPRECATED)"/>
    <s v="São Carlos, BR"/>
    <s v="76"/>
    <s v="12"/>
    <x v="3"/>
  </r>
  <r>
    <s v="OPP-10110"/>
    <s v="ACC-1062"/>
    <s v="Cedar Foods"/>
    <s v="Daniel Moura"/>
    <s v="Cedar Foods - DDM - Media - Managed Media (AOR) - 06/2026"/>
    <s v="Change Order/Upsell"/>
    <x v="1"/>
    <n v="4565828.57"/>
    <s v="BRL"/>
    <n v="1423654.78"/>
    <s v="BRL"/>
    <s v="DDM - Media - Managed Media (AOR)"/>
    <d v="2026-06-30T00:00:00"/>
    <d v="2026-01-26T00:00:00"/>
    <s v="Inbound - Current Client (DEPRECATED)"/>
    <s v="Votorantim, BR"/>
    <s v="33"/>
    <s v="12"/>
    <x v="0"/>
  </r>
  <r>
    <s v="OPP-10049"/>
    <s v="ACC-1107"/>
    <s v="Cobalt SaaS"/>
    <s v="Xavier Correia"/>
    <s v="Cobalt SaaS - DDM - Media - Managed Media (AOR) - 01/2026"/>
    <s v="Project - Not Competitive"/>
    <x v="2"/>
    <n v="1680000"/>
    <s v="BRL"/>
    <n v="1680000"/>
    <s v="BRL"/>
    <s v="DDM - Media - Managed Media (AOR)"/>
    <d v="2026-01-14T00:00:00"/>
    <d v="2025-11-26T00:00:00"/>
    <s v="Referral - Personal"/>
    <s v="Votorantim, BR"/>
    <s v="90"/>
    <s v="12"/>
    <x v="2"/>
  </r>
  <r>
    <s v="OPP-10099"/>
    <s v="ACC-1112"/>
    <s v="Company 111"/>
    <s v="Xavier Correia"/>
    <s v="Company 111 - DDM - Media - Managed Media (AOR) - 02/2026"/>
    <s v="Project - Competitive"/>
    <x v="2"/>
    <n v="4293965.2399999993"/>
    <s v="BRL"/>
    <n v="2320969.56"/>
    <s v="BRL"/>
    <s v="DDM - Media - Managed Media (AOR)"/>
    <d v="2026-02-27T00:00:00"/>
    <d v="2026-01-20T00:00:00"/>
    <s v="Referral - S4 Company"/>
    <s v="São Carlos, BR"/>
    <s v="46"/>
    <s v="12"/>
    <x v="2"/>
  </r>
  <r>
    <s v="OPP-10205"/>
    <s v="ACC-1114"/>
    <s v="Company 113"/>
    <s v="Wanda Borges"/>
    <s v="Company 113 -  - 07/2026"/>
    <s v="Project - Competitive"/>
    <x v="0"/>
    <n v="171761.3"/>
    <s v="BRL"/>
    <n v="171761.3"/>
    <s v="BRL"/>
    <s v="DDM - Media - Managed Media (AOR)"/>
    <d v="2026-04-26T00:00:00"/>
    <d v="2026-03-27T00:00:00"/>
    <s v="Referral - S4 Company"/>
    <s v="São Paulo, BR"/>
    <s v="15"/>
    <s v="10"/>
    <x v="2"/>
  </r>
  <r>
    <s v="OPP-10242"/>
    <s v="ACC-1115"/>
    <s v="Company 114"/>
    <s v="Xavier Correia"/>
    <s v="Company 114 - DDM - Media - Managed Media (AOR) - 06/2026"/>
    <s v="Project - Competitive"/>
    <x v="1"/>
    <n v="877063.2"/>
    <s v="BRL"/>
    <n v="416671.2"/>
    <s v="BRL"/>
    <s v="DDM - Media - Managed Media (AOR)"/>
    <d v="2026-06-30T00:00:00"/>
    <d v="2026-10-04T00:00:00"/>
    <s v="MH Lead (DEPRECATED)"/>
    <s v="Votorantim, BR"/>
    <s v="4"/>
    <s v="12"/>
    <x v="1"/>
  </r>
  <r>
    <s v="OPP-10146"/>
    <s v="ACC-1116"/>
    <s v="Company 115"/>
    <s v="Lucas Almeida"/>
    <s v="Company 115 - DDM - Media - Managed Media (AOR) - 05/2026"/>
    <s v="Project - Not Competitive"/>
    <x v="5"/>
    <n v="935328"/>
    <s v="BRL"/>
    <n v="935328"/>
    <s v="BRL"/>
    <s v="DDM - Media - Managed Media (AOR)"/>
    <d v="2026-05-18T00:00:00"/>
    <d v="2026-02-23T00:00:00"/>
    <s v="Referral - Internal"/>
    <s v="São Carlos, BR"/>
    <s v="50"/>
    <s v="12"/>
    <x v="2"/>
  </r>
  <r>
    <s v="OPP-10154"/>
    <s v="ACC-1119"/>
    <s v="Company 118"/>
    <s v="Wanda Borges"/>
    <s v="Company 118 - DDM - Media - Managed Media (AOR) - 05/2026"/>
    <s v="Project - Competitive"/>
    <x v="1"/>
    <n v="2344909.7999999998"/>
    <s v="BRL"/>
    <n v="321776.88"/>
    <s v="BRL"/>
    <s v="DDM - Media - Managed Media (AOR)"/>
    <d v="2026-05-29T00:00:00"/>
    <d v="2026-02-27T00:00:00"/>
    <s v="Inbound - Website - Media.Monks (DEPRECATED)"/>
    <s v="Votorantim, BR"/>
    <s v="15"/>
    <s v="12"/>
    <x v="3"/>
  </r>
  <r>
    <s v="OPP-10173"/>
    <s v="ACC-1120"/>
    <s v="Company 119"/>
    <s v="Felipe Lima"/>
    <s v="Company 119 - DDM - Media - Managed Media (AOR) - 05/2026"/>
    <s v="Project - Competitive"/>
    <x v="1"/>
    <n v="894521"/>
    <s v="BRL"/>
    <n v="574768.80000000005"/>
    <s v="BRL"/>
    <s v="DDM - Media - Managed Media (AOR)"/>
    <d v="2026-04-05T00:00:00"/>
    <d v="2026-11-03T00:00:00"/>
    <s v="Inbound - Website - Media.Monks (DEPRECATED)"/>
    <s v="São Carlos, BR"/>
    <s v="25"/>
    <s v="12"/>
    <x v="3"/>
  </r>
  <r>
    <s v="OPP-10231"/>
    <s v="ACC-1122"/>
    <s v="Company 121"/>
    <s v="Joao Pereira"/>
    <s v="Company 121 - Content - Platform - Website Creation &amp; Production - 05/2026"/>
    <s v="Project - Competitive"/>
    <x v="1"/>
    <n v="374000"/>
    <s v="BRL"/>
    <n v="354000"/>
    <s v="BRL"/>
    <s v="DDM - Media - Managed Media (AOR)"/>
    <d v="2026-08-05T00:00:00"/>
    <d v="2026-08-04T00:00:00"/>
    <s v="Referral - Personal"/>
    <s v="São Carlos, BR"/>
    <s v="4"/>
    <s v="12"/>
    <x v="2"/>
  </r>
  <r>
    <s v="OPP-10197"/>
    <s v="ACC-1123"/>
    <s v="Company 122"/>
    <s v="Thiago Freitas"/>
    <s v="Company 122 - DDM - Media - Managed Media (AOR) - 05/2026"/>
    <s v="Project - Not Competitive"/>
    <x v="6"/>
    <n v="35000"/>
    <s v="BRL"/>
    <n v="35000"/>
    <s v="BRL"/>
    <s v="DDM - Media - Managed Media (AOR)"/>
    <d v="2026-05-31T00:00:00"/>
    <d v="2026-03-26T00:00:00"/>
    <s v="Inbound - Website - Media.Monks (DEPRECATED)"/>
    <s v="São Paulo, BR"/>
    <s v="1"/>
    <s v="3"/>
    <x v="3"/>
  </r>
  <r>
    <s v="OPP-10145"/>
    <s v="ACC-1126"/>
    <s v="Company 125"/>
    <s v="Xavier Correia"/>
    <s v="Company 125 - DDM - Media - Managed Media (AOR) - 04/2026"/>
    <s v="Project - Competitive"/>
    <x v="3"/>
    <n v="456000"/>
    <s v="BRL"/>
    <n v="420000"/>
    <s v="BRL"/>
    <s v="DDM - Media - Managed Media (AOR)"/>
    <d v="2026-04-30T00:00:00"/>
    <d v="2026-02-20T00:00:00"/>
    <s v="Referral - Personal"/>
    <s v="Votorantim, BR"/>
    <s v="13"/>
    <s v="12"/>
    <x v="2"/>
  </r>
  <r>
    <s v="OPP-10255"/>
    <s v="ACC-1128"/>
    <s v="Company 127"/>
    <s v="Felipe Lima"/>
    <s v="Company 127 - DDM - Media - Managed Media (AOR) - 05/2026"/>
    <s v="Project - Competitive"/>
    <x v="5"/>
    <n v="0"/>
    <s v="BRL"/>
    <n v="0"/>
    <s v="BRL"/>
    <s v="DDM - Media - Managed Media (AOR)"/>
    <d v="2026-05-13T00:00:00"/>
    <d v="2026-04-13T00:00:00"/>
    <s v="Referral - Internal"/>
    <s v="São Carlos, BR"/>
    <s v="1"/>
    <m/>
    <x v="2"/>
  </r>
  <r>
    <s v="OPP-10038"/>
    <s v="ACC-1046"/>
    <s v="Cypress Air"/>
    <s v="Wanda Borges"/>
    <s v="Cypress Air - DDM - Media - Managed Media (AOR) - 02/2026"/>
    <s v="Project - Competitive"/>
    <x v="2"/>
    <n v="589446.40999999992"/>
    <s v="BRL"/>
    <n v="548136.6"/>
    <s v="BRL"/>
    <s v="DDM - Media - Managed Media (AOR)"/>
    <d v="2026-02-27T00:00:00"/>
    <d v="2025-11-11T00:00:00"/>
    <s v="Inbound - Marketing (DEPRECATED)"/>
    <s v="Votorantim, BR"/>
    <s v="46"/>
    <s v="12"/>
    <x v="3"/>
  </r>
  <r>
    <s v="OPP-10052"/>
    <s v="ACC-1016"/>
    <s v="Elm Realty"/>
    <s v="Pedro Martins"/>
    <s v="Elm Realty - DDM - Media - Managed Media (AOR) - 03/2026"/>
    <s v="Flex/Renewal"/>
    <x v="2"/>
    <n v="517703.16"/>
    <s v="BRL"/>
    <n v="420864.6"/>
    <s v="BRL"/>
    <s v="DDM - Media - Managed Media (AOR)"/>
    <d v="2026-03-23T00:00:00"/>
    <d v="2025-11-27T00:00:00"/>
    <s v="MH Lead (DEPRECATED)"/>
    <s v="Votorantim, BR"/>
    <s v="22"/>
    <s v="12"/>
    <x v="1"/>
  </r>
  <r>
    <s v="OPP-10107"/>
    <s v="ACC-1016"/>
    <s v="Elm Realty"/>
    <s v="Pedro Martins"/>
    <s v="Elm Realty - DDM - Media - Managed Media (AOR) - 03/2026"/>
    <s v="Change Order/Upsell"/>
    <x v="2"/>
    <n v="164120.28"/>
    <s v="BRL"/>
    <n v="164120.28"/>
    <s v="BRL"/>
    <s v="DDM - Media - Managed Media (AOR)"/>
    <d v="2026-10-03T00:00:00"/>
    <d v="2026-01-23T00:00:00"/>
    <s v="Inbound - Current Client (DEPRECATED)"/>
    <s v="Votorantim, BR"/>
    <s v="35"/>
    <s v="12"/>
    <x v="0"/>
  </r>
  <r>
    <s v="OPP-10073"/>
    <s v="ACC-1016"/>
    <s v="Elm Realty"/>
    <s v="Pedro Martins"/>
    <s v="Elm Realty - DDM - Data - Services &amp; Tech - Services (Analytics &amp; Support) - 03/2026"/>
    <s v="Change Order/Upsell"/>
    <x v="2"/>
    <n v="76299"/>
    <s v="BRL"/>
    <n v="76299"/>
    <s v="BRL"/>
    <s v="DDM - Media - Managed Media (AOR)"/>
    <d v="2026-03-23T00:00:00"/>
    <d v="2025-12-18T00:00:00"/>
    <s v="Inbound - Current Client (DEPRECATED)"/>
    <s v="Votorantim, BR"/>
    <s v="22"/>
    <s v="12"/>
    <x v="0"/>
  </r>
  <r>
    <s v="OPP-10191"/>
    <s v="ACC-1016"/>
    <s v="Elm Realty"/>
    <s v="Pedro Martins"/>
    <s v="Elm Realty - DDM - Data - Services &amp; Tech - Services (Analytics &amp; Support) - 03/2026"/>
    <s v="Flex/Renewal"/>
    <x v="2"/>
    <n v="486654.96"/>
    <s v="BRL"/>
    <n v="389804.64"/>
    <s v="BRL"/>
    <s v="DDM - Media - Managed Media (AOR)"/>
    <d v="2026-03-20T00:00:00"/>
    <d v="2026-03-20T00:00:00"/>
    <s v="Inbound - Current Client (DEPRECATED)"/>
    <s v="Votorantim, BR"/>
    <s v="25"/>
    <s v="12"/>
    <x v="0"/>
  </r>
  <r>
    <s v="OPP-10097"/>
    <s v="ACC-1014"/>
    <s v="Fern Agriculture"/>
    <s v="Lucas Almeida"/>
    <s v="Fern Agriculture - DDM - Media - Managed Media (AOR) - 04/2026"/>
    <s v="Project - Not Competitive"/>
    <x v="0"/>
    <n v="1410000"/>
    <s v="BRL"/>
    <n v="934800"/>
    <s v="BRL"/>
    <s v="DDM - Media - Managed Media (AOR)"/>
    <d v="2026-04-13T00:00:00"/>
    <d v="2026-01-16T00:00:00"/>
    <s v="Inbound - Website - Media.Monks (DEPRECATED)"/>
    <s v="Votorantim, BR"/>
    <s v="21"/>
    <s v="12"/>
    <x v="3"/>
  </r>
  <r>
    <s v="OPP-10176"/>
    <s v="ACC-1102"/>
    <s v="Fjord Travel"/>
    <s v="Daniel Moura"/>
    <s v="Fjord Travel - DDM - Media - Managed Media (AOR) - 05/2026"/>
    <s v="Change Order/Upsell"/>
    <x v="3"/>
    <n v="585915.63"/>
    <s v="BRL"/>
    <n v="466392.76"/>
    <s v="BRL"/>
    <s v="DDM - Media - Managed Media (AOR)"/>
    <d v="2026-05-31T00:00:00"/>
    <d v="2026-11-03T00:00:00"/>
    <s v="Don't Know/Other (DEPRECATED)"/>
    <s v="Votorantim, BR"/>
    <s v="15"/>
    <s v="12"/>
    <x v="1"/>
  </r>
  <r>
    <s v="OPP-10042"/>
    <s v="ACC-1072"/>
    <s v="Ginger Realty"/>
    <s v="Amanda Rios"/>
    <s v="Ginger Realty - DDM - Media - Managed Media (AOR) - 01/2026"/>
    <s v="Flex/Renewal"/>
    <x v="2"/>
    <n v="429774"/>
    <s v="BRL"/>
    <n v="429774"/>
    <s v="BRL"/>
    <s v="DDM - Media - Managed Media (AOR)"/>
    <d v="2026-01-15T00:00:00"/>
    <d v="2025-11-14T00:00:00"/>
    <s v="Inbound - Current Client (DEPRECATED)"/>
    <s v="Votorantim, BR"/>
    <s v="89"/>
    <s v="6"/>
    <x v="0"/>
  </r>
  <r>
    <s v="OPP-10245"/>
    <s v="ACC-1072"/>
    <s v="Ginger Realty"/>
    <s v="Amanda Rios"/>
    <s v="Ginger Realty - DDM - Media - Managed Media (AOR) - 07/2026"/>
    <s v="Flex/Renewal"/>
    <x v="6"/>
    <n v="406131.72"/>
    <s v="BRL"/>
    <n v="406131.72"/>
    <s v="BRL"/>
    <s v="DDM - Media - Managed Media (AOR)"/>
    <d v="2026-07-31T00:00:00"/>
    <d v="2026-10-04T00:00:00"/>
    <s v="Existing Client - Account/Growth Activity"/>
    <s v="Votorantim, BR"/>
    <s v="4"/>
    <s v="6"/>
    <x v="0"/>
  </r>
  <r>
    <s v="OPP-10199"/>
    <s v="ACC-1048"/>
    <s v="Ginkgo Utilities"/>
    <s v="Daniel Moura"/>
    <s v="Ginkgo Utilities - DDM - Media - Managed Media (AOR) - 06/2026"/>
    <s v="Change Order/Upsell"/>
    <x v="1"/>
    <n v="91615.13"/>
    <s v="BRL"/>
    <n v="91615.13"/>
    <s v="BRL"/>
    <s v="DDM - Media - Managed Media (AOR)"/>
    <d v="2026-06-30T00:00:00"/>
    <d v="2026-03-26T00:00:00"/>
    <s v="MH Lead (DEPRECATED)"/>
    <s v="Votorantim, BR"/>
    <s v="0"/>
    <s v="12"/>
    <x v="1"/>
  </r>
  <r>
    <s v="OPP-10093"/>
    <s v="ACC-1110"/>
    <s v="Glacier Energy"/>
    <s v="Lucas Almeida"/>
    <s v="Glacier Energy - DDM - Media - Managed Media (AOR) - 06/2026"/>
    <s v="Project - Competitive"/>
    <x v="1"/>
    <n v="391800"/>
    <s v="BRL"/>
    <n v="391800"/>
    <s v="BRL"/>
    <s v="DDM - Media - Managed Media (AOR)"/>
    <d v="2026-01-06T00:00:00"/>
    <d v="2026-01-13T00:00:00"/>
    <s v="Referral - Internal"/>
    <s v="Votorantim, BR"/>
    <s v="64"/>
    <s v="12"/>
    <x v="2"/>
  </r>
  <r>
    <s v="OPP-10036"/>
    <s v="ACC-1004"/>
    <s v="Harbor Grocers"/>
    <s v="Carla Mendes"/>
    <s v="Harbor Grocers - DDM - Media - Managed Media (AOR) - 01/2026"/>
    <s v="Flex/Renewal"/>
    <x v="2"/>
    <n v="1038355.7999999999"/>
    <s v="BRL"/>
    <n v="600429.6"/>
    <s v="BRL"/>
    <s v="DDM - Media - Managed Media (AOR)"/>
    <d v="2026-01-14T00:00:00"/>
    <d v="2025-06-11T00:00:00"/>
    <s v="Inbound - Current Client (DEPRECATED)"/>
    <s v="São Carlos, BR"/>
    <s v="90"/>
    <s v="12"/>
    <x v="0"/>
  </r>
  <r>
    <s v="OPP-10075"/>
    <s v="ACC-1004"/>
    <s v="Harbor Grocers"/>
    <s v="Carla Mendes"/>
    <s v="Harbor Grocers - DDM - Media - Creative - 01/2026"/>
    <s v="Change Order/Upsell"/>
    <x v="2"/>
    <n v="228000"/>
    <s v="BRL"/>
    <n v="228000"/>
    <s v="BRL"/>
    <s v="DDM - Media - Managed Media (AOR)"/>
    <d v="2026-05-01T00:00:00"/>
    <d v="2025-12-18T00:00:00"/>
    <s v="Inbound - Current Client (DEPRECATED)"/>
    <s v="São Carlos, BR"/>
    <s v="99"/>
    <s v="6"/>
    <x v="0"/>
  </r>
  <r>
    <s v="OPP-10066"/>
    <s v="ACC-1049"/>
    <s v="Hazel Construction"/>
    <s v="Bernardo Castro"/>
    <s v="Hazel Construction - Content - Social - AOR - 01/2026"/>
    <s v="Flex/Renewal"/>
    <x v="2"/>
    <n v="1546078.56"/>
    <s v="BRL"/>
    <n v="133226.4"/>
    <s v="BRL"/>
    <s v="DDM - Media - Managed Media (AOR)"/>
    <d v="2026-12-03T00:00:00"/>
    <d v="2025-08-12T00:00:00"/>
    <s v="Inbound - Current Client (DEPRECATED)"/>
    <s v="São Carlos, BR"/>
    <s v="33"/>
    <s v="12"/>
    <x v="0"/>
  </r>
  <r>
    <s v="OPP-10046"/>
    <s v="ACC-1049"/>
    <s v="Hazel Construction"/>
    <s v="Bernardo Castro"/>
    <s v="Hazel Construction - DDM - Data - Services &amp; Tech - Services (Analytics &amp; Support) - 03/2026"/>
    <s v="Change Order/Upsell"/>
    <x v="2"/>
    <n v="604944.24"/>
    <s v="BRL"/>
    <n v="117445.56"/>
    <s v="BRL"/>
    <s v="DDM - Media - Managed Media (AOR)"/>
    <d v="2026-02-25T00:00:00"/>
    <d v="2025-11-17T00:00:00"/>
    <s v="Inbound - Current Client (DEPRECATED)"/>
    <s v="São Carlos, BR"/>
    <s v="48"/>
    <s v="12"/>
    <x v="0"/>
  </r>
  <r>
    <s v="OPP-10185"/>
    <s v="ACC-1049"/>
    <s v="Hazel Construction"/>
    <s v="Bernardo Castro"/>
    <s v="Hazel Construction - Content - Social - AOR - 05/2026"/>
    <s v="Change Order/Upsell"/>
    <x v="0"/>
    <n v="3000"/>
    <s v="BRL"/>
    <n v="3000"/>
    <s v="BRL"/>
    <s v="DDM - Media - Managed Media (AOR)"/>
    <d v="2026-04-17T00:00:00"/>
    <d v="2026-03-18T00:00:00"/>
    <s v="Inbound - Current Client (DEPRECATED)"/>
    <s v="São Carlos, BR"/>
    <s v="14"/>
    <s v="1"/>
    <x v="0"/>
  </r>
  <r>
    <s v="OPP-10060"/>
    <s v="ACC-1005"/>
    <s v="Helios Tech"/>
    <s v="Lucas Almeida"/>
    <s v="Helios Tech - DDM - Media - Managed Media (AOR) - 04/2026"/>
    <s v="Project - Competitive"/>
    <x v="0"/>
    <n v="993642.36"/>
    <s v="BRL"/>
    <n v="593490.36"/>
    <s v="BRL"/>
    <s v="DDM - Media - Managed Media (AOR)"/>
    <d v="2026-10-04T00:00:00"/>
    <d v="2025-03-12T00:00:00"/>
    <s v="Don't Know/Other (DEPRECATED)"/>
    <s v="Votorantim, BR"/>
    <s v="21"/>
    <s v="12"/>
    <x v="1"/>
  </r>
  <r>
    <s v="OPP-10168"/>
    <s v="ACC-1069"/>
    <s v="Honeysuckle Travel"/>
    <s v="Bruno Costa"/>
    <s v="Honeysuckle Travel - DDM - Media - Managed Media (AOR) - 05/2026"/>
    <s v="Flex/Renewal"/>
    <x v="4"/>
    <n v="809225.34"/>
    <s v="BRL"/>
    <n v="335907.9"/>
    <s v="BRL"/>
    <s v="DDM - Media - Managed Media (AOR)"/>
    <d v="2026-05-31T00:00:00"/>
    <d v="2026-06-03T00:00:00"/>
    <s v="Inbound - Current Client (DEPRECATED)"/>
    <s v="São Carlos, BR"/>
    <s v="18"/>
    <s v="6"/>
    <x v="0"/>
  </r>
  <r>
    <s v="OPP-10168"/>
    <s v="ACC-1069"/>
    <s v="Honeysuckle Travel"/>
    <s v="Bruno Costa"/>
    <s v="Honeysuckle Travel - DDM - Media - Managed Media (AOR) - 05/2026"/>
    <s v="Flex/Renewal"/>
    <x v="4"/>
    <n v="809225.34"/>
    <s v="BRL"/>
    <n v="31595.88"/>
    <s v="BRL"/>
    <s v="DDM - Media - Managed Media (AOR)"/>
    <d v="2026-05-31T00:00:00"/>
    <d v="2026-06-03T00:00:00"/>
    <s v="Inbound - Current Client (DEPRECATED)"/>
    <s v="São Carlos, BR"/>
    <s v="18"/>
    <s v="6"/>
    <x v="0"/>
  </r>
  <r>
    <s v="OPP-10167"/>
    <s v="ACC-1003"/>
    <s v="Ibis Mobility"/>
    <s v="Bruno Costa"/>
    <s v="Ibis Mobility - DDM - Media - Managed Media (AOR) - 05/2026"/>
    <s v="Flex/Renewal"/>
    <x v="1"/>
    <n v="120000"/>
    <s v="BRL"/>
    <n v="120000"/>
    <s v="BRL"/>
    <s v="DDM - Media - Managed Media (AOR)"/>
    <d v="2026-05-31T00:00:00"/>
    <d v="2026-06-03T00:00:00"/>
    <s v="Inbound - Current Client (DEPRECATED)"/>
    <s v="São Paulo, BR"/>
    <s v="32"/>
    <s v="12"/>
    <x v="0"/>
  </r>
  <r>
    <s v="OPP-10250"/>
    <s v="ACC-1018"/>
    <s v="Ivy Cloud"/>
    <s v="Karina Oliveira"/>
    <s v="Ivy Cloud - DDM - Media - Managed Media (AOR) - 07/2026"/>
    <s v="Flex/Renewal"/>
    <x v="6"/>
    <n v="645960"/>
    <s v="BRL"/>
    <n v="645960"/>
    <s v="BRL"/>
    <s v="DDM - Media - Managed Media (AOR)"/>
    <d v="2026-07-31T00:00:00"/>
    <d v="2026-10-04T00:00:00"/>
    <s v="MH Lead (DEPRECATED)"/>
    <s v="Votorantim, BR"/>
    <s v="4"/>
    <s v="12"/>
    <x v="1"/>
  </r>
  <r>
    <s v="OPP-10050"/>
    <s v="ACC-1045"/>
    <s v="Jasper Security"/>
    <s v="Felipe Lima"/>
    <s v="Jasper Security - DDM - Media - Managed Media (AOR) - 05/2026"/>
    <s v="Project - Competitive"/>
    <x v="3"/>
    <n v="6208423.2000000002"/>
    <s v="BRL"/>
    <n v="3334849.56"/>
    <s v="BRL"/>
    <s v="DDM - Media - Managed Media (AOR)"/>
    <d v="2026-05-13T00:00:00"/>
    <d v="2025-11-26T00:00:00"/>
    <s v="Referral - Internal"/>
    <s v="Votorantim, BR"/>
    <s v="64"/>
    <s v="12"/>
    <x v="2"/>
  </r>
  <r>
    <s v="OPP-10082"/>
    <s v="ACC-1108"/>
    <s v="Jojoba Cosmetics"/>
    <s v="Wanda Borges"/>
    <s v="Jojoba Cosmetics - DDM - Media - Managed Media (AOR) - 01/2026"/>
    <s v="Project - Competitive"/>
    <x v="2"/>
    <n v="60000"/>
    <s v="BRL"/>
    <n v="60000"/>
    <s v="BRL"/>
    <s v="DDM - Media - Managed Media (AOR)"/>
    <d v="2026-01-19T00:00:00"/>
    <d v="2025-12-23T00:00:00"/>
    <s v="Don't Know/Other (DEPRECATED)"/>
    <s v="São Carlos, BR"/>
    <s v="85"/>
    <s v="12"/>
    <x v="1"/>
  </r>
  <r>
    <s v="OPP-10035"/>
    <s v="ACC-1010"/>
    <s v="Juniper Data"/>
    <s v="Lucas Almeida"/>
    <s v="Juniper Data - DDM - Media - Managed Media (AOR) - 06/2026"/>
    <s v="Project - Competitive"/>
    <x v="3"/>
    <n v="286464"/>
    <s v="BRL"/>
    <n v="12000"/>
    <s v="BRL"/>
    <s v="DDM - Media - Managed Media (AOR)"/>
    <d v="2026-06-29T00:00:00"/>
    <d v="2025-03-11T00:00:00"/>
    <s v="Industry Event"/>
    <s v="São Carlos, BR"/>
    <s v="134"/>
    <s v="24"/>
    <x v="4"/>
  </r>
  <r>
    <s v="OPP-10180"/>
    <s v="ACC-1054"/>
    <s v="Kite Mobile"/>
    <s v="Bruno Costa"/>
    <s v="Kite Mobile - DDM - Media - Managed Media (AOR) - 05/2026"/>
    <s v="Change Order/Upsell"/>
    <x v="0"/>
    <n v="145803.84"/>
    <s v="BRL"/>
    <n v="145803.84"/>
    <s v="BRL"/>
    <s v="DDM - Media - Managed Media (AOR)"/>
    <d v="2026-05-31T00:00:00"/>
    <d v="2026-03-13T00:00:00"/>
    <s v="Inbound - Current Client (DEPRECATED)"/>
    <s v="Votorantim, BR"/>
    <s v="29"/>
    <s v="12"/>
    <x v="0"/>
  </r>
  <r>
    <s v="OPP-10056"/>
    <s v="ACC-1076"/>
    <s v="Kudzu Retail"/>
    <s v="Karina Oliveira"/>
    <s v="Kudzu Retail - DDM - Media - Managed Media (AOR) - 01/2026"/>
    <s v="Flex/Renewal"/>
    <x v="2"/>
    <n v="234960"/>
    <s v="BRL"/>
    <n v="234960"/>
    <s v="BRL"/>
    <s v="DDM - Media - Managed Media (AOR)"/>
    <d v="2026-01-20T00:00:00"/>
    <d v="2025-11-28T00:00:00"/>
    <s v="Inbound - Current Client (DEPRECATED)"/>
    <s v="Votorantim, BR"/>
    <s v="84"/>
    <s v="12"/>
    <x v="0"/>
  </r>
  <r>
    <s v="OPP-10095"/>
    <s v="ACC-1065"/>
    <s v="Larkspur Foods"/>
    <s v="Joao Pereira"/>
    <s v="Larkspur Foods - DDM - Media - Managed Media (AOR) - 07/2026"/>
    <s v="Project - Competitive"/>
    <x v="4"/>
    <n v="1200000"/>
    <s v="BRL"/>
    <n v="1200000"/>
    <s v="BRL"/>
    <s v="DDM - Media - Managed Media (AOR)"/>
    <d v="2026-06-07T00:00:00"/>
    <d v="2026-01-15T00:00:00"/>
    <s v="Referral - Personal"/>
    <s v="São Carlos, BR"/>
    <s v="15"/>
    <s v="12"/>
    <x v="2"/>
  </r>
  <r>
    <s v="OPP-10109"/>
    <s v="ACC-1080"/>
    <s v="Lavender Publishing"/>
    <s v="Xavier Correia"/>
    <s v="Lavender Publishing - DDM - Media - Managed Media (AOR) - 04/2026"/>
    <s v="Project - Competitive"/>
    <x v="0"/>
    <n v="360655.14"/>
    <s v="BRL"/>
    <n v="297600"/>
    <s v="BRL"/>
    <s v="DDM - Media - Managed Media (AOR)"/>
    <d v="2026-04-13T00:00:00"/>
    <d v="2026-01-23T00:00:00"/>
    <s v="Prospecting - Current Client (DEPRECATED)"/>
    <s v="Votorantim, BR"/>
    <s v="46"/>
    <s v="12"/>
    <x v="0"/>
  </r>
  <r>
    <s v="OPP-10244"/>
    <s v="ACC-1041"/>
    <s v="Linden Foods"/>
    <s v="Amanda Rios"/>
    <s v="Linden Foods - DDM - Media - Managed Media (AOR) - 07/2026"/>
    <s v="Change Order/Upsell"/>
    <x v="6"/>
    <n v="25000"/>
    <s v="BRL"/>
    <n v="25000"/>
    <s v="BRL"/>
    <s v="DDM - Media - Managed Media (AOR)"/>
    <d v="2026-07-31T00:00:00"/>
    <d v="2026-10-04T00:00:00"/>
    <s v="Existing Client - Account/Growth Activity"/>
    <s v="São Carlos, BR"/>
    <s v="4"/>
    <s v="12"/>
    <x v="0"/>
  </r>
  <r>
    <s v="OPP-10249"/>
    <s v="ACC-1093"/>
    <s v="Moringa Health"/>
    <s v="Nicolas Teixeira"/>
    <s v="Moringa Health - DDM - Media - Managed Media (AOR) - 06/2026"/>
    <s v="Project - Competitive"/>
    <x v="6"/>
    <n v="384000"/>
    <s v="BRL"/>
    <n v="384000"/>
    <s v="BRL"/>
    <s v="DDM - Media - Managed Media (AOR)"/>
    <d v="2026-06-30T00:00:00"/>
    <d v="2026-10-04T00:00:00"/>
    <s v="Marketing - Lead Scoring/Nurturing"/>
    <s v="São Carlos, BR"/>
    <s v="4"/>
    <s v="24"/>
    <x v="1"/>
  </r>
  <r>
    <s v="OPP-10091"/>
    <s v="ACC-1084"/>
    <s v="Nigella Security"/>
    <s v="Bruno Costa"/>
    <s v="Nigella Security - Content - Platform - Performance, SEO, CRM &amp; Loyalty - 05/2026"/>
    <s v="Flex/Renewal"/>
    <x v="2"/>
    <n v="3156666.46"/>
    <s v="BRL"/>
    <n v="1530024.1"/>
    <s v="BRL"/>
    <s v="DDM - Media - Managed Media (AOR)"/>
    <d v="2026-02-26T00:00:00"/>
    <d v="2026-12-01T00:00:00"/>
    <s v="Inbound - Current Client (DEPRECATED)"/>
    <s v="São Carlos, BR"/>
    <s v="47"/>
    <s v="12"/>
    <x v="0"/>
  </r>
  <r>
    <s v="OPP-10220"/>
    <s v="ACC-1084"/>
    <s v="Nigella Security"/>
    <s v="Bruno Costa"/>
    <s v="Nigella Security - DDM - CRM - Other - 02/2026"/>
    <s v="Change Order/Upsell"/>
    <x v="3"/>
    <n v="264000"/>
    <s v="BRL"/>
    <n v="264000"/>
    <s v="BRL"/>
    <s v="DDM - Media - Managed Media (AOR)"/>
    <d v="2026-05-31T00:00:00"/>
    <d v="2026-02-04T00:00:00"/>
    <s v="Inbound - Current Client (DEPRECATED)"/>
    <s v="São Carlos, BR"/>
    <s v="12"/>
    <s v="12"/>
    <x v="0"/>
  </r>
  <r>
    <s v="OPP-10058"/>
    <s v="ACC-1095"/>
    <s v="Nimbus Media"/>
    <s v="Yasmin Nogueira"/>
    <s v="Nimbus Media - DDM - Media - Managed Media (AOR) - 05/2026"/>
    <s v="Project - Competitive"/>
    <x v="3"/>
    <n v="2627267.83"/>
    <s v="BRL"/>
    <n v="1263216.3600000001"/>
    <s v="BRL"/>
    <s v="DDM - Media - Managed Media (AOR)"/>
    <d v="2026-11-05T00:00:00"/>
    <d v="2025-01-12T00:00:00"/>
    <s v="Referral - Personal"/>
    <s v="Votorantim, BR"/>
    <s v="54"/>
    <s v="12"/>
    <x v="2"/>
  </r>
  <r>
    <s v="OPP-10001"/>
    <s v="ACC-1031"/>
    <s v="Nova Studios"/>
    <s v="Queila Ribeiro"/>
    <s v="Nova Studios - DDM - Media - Managed Media (AOR) - 04/2026"/>
    <s v="Change Order/Upsell"/>
    <x v="0"/>
    <n v="3043949.95"/>
    <s v="BRL"/>
    <n v="829077.09"/>
    <s v="BRL"/>
    <s v="DDM - Media - Managed Media (AOR)"/>
    <d v="2026-04-30T00:00:00"/>
    <d v="2025-05-19T00:00:00"/>
    <s v="Inbound - Current Client (DEPRECATED)"/>
    <s v="São Carlos, BR"/>
    <s v="130"/>
    <s v="12"/>
    <x v="0"/>
  </r>
  <r>
    <s v="OPP-10064"/>
    <s v="ACC-1031"/>
    <s v="Nova Studios"/>
    <s v="Queila Ribeiro"/>
    <s v="Nova Studios - Content - Platform - Performance, SEO, CRM &amp; Loyalty - 07/2026"/>
    <s v="Flex/Renewal"/>
    <x v="0"/>
    <n v="4235159.34"/>
    <s v="BRL"/>
    <n v="3564631.98"/>
    <s v="BRL"/>
    <s v="DDM - Media - Managed Media (AOR)"/>
    <d v="2026-04-17T00:00:00"/>
    <d v="2025-08-12T00:00:00"/>
    <s v="Inbound - Current Client (DEPRECATED)"/>
    <s v="São Carlos, BR"/>
    <s v="26"/>
    <s v="6"/>
    <x v="0"/>
  </r>
  <r>
    <s v="OPP-10155"/>
    <s v="ACC-1031"/>
    <s v="Nova Studios"/>
    <s v="Queila Ribeiro"/>
    <s v="Nova Studios - DDM - Media - Creative - 04/2026"/>
    <s v="Change Order/Upsell"/>
    <x v="3"/>
    <n v="720000"/>
    <s v="BRL"/>
    <n v="720000"/>
    <s v="BRL"/>
    <s v="DDM - Media - Managed Media (AOR)"/>
    <d v="2026-05-31T00:00:00"/>
    <d v="2026-02-03T00:00:00"/>
    <s v="Inbound - Current Client (DEPRECATED)"/>
    <s v="São Carlos, BR"/>
    <s v="12"/>
    <s v="12"/>
    <x v="0"/>
  </r>
  <r>
    <s v="OPP-10070"/>
    <s v="ACC-1031"/>
    <s v="Nova Studios"/>
    <s v="Queila Ribeiro"/>
    <s v="Nova Studios - DDM - Media - Creative - 04/2026"/>
    <s v="Change Order/Upsell"/>
    <x v="0"/>
    <n v="594455.31000000006"/>
    <s v="BRL"/>
    <n v="387913.59"/>
    <s v="BRL"/>
    <s v="DDM - Media - Managed Media (AOR)"/>
    <d v="2026-04-30T00:00:00"/>
    <d v="2025-12-15T00:00:00"/>
    <s v="Inbound - Current Client (DEPRECATED)"/>
    <s v="São Carlos, BR"/>
    <s v="26"/>
    <s v="3"/>
    <x v="0"/>
  </r>
  <r>
    <s v="OPP-10011"/>
    <s v="ACC-1025"/>
    <s v="Nutmeg Gaming"/>
    <s v="Amanda Rios"/>
    <s v="Nutmeg Gaming - DDM - Media - Managed Media (AOR) - 02/2026"/>
    <s v="Change Order/Upsell"/>
    <x v="2"/>
    <n v="180000"/>
    <s v="BRL"/>
    <n v="72000"/>
    <s v="BRL"/>
    <s v="DDM - Media - Managed Media (AOR)"/>
    <d v="2026-09-02T00:00:00"/>
    <d v="2025-08-29T00:00:00"/>
    <s v="Inbound - Current Client (DEPRECATED)"/>
    <s v="São Carlos, BR"/>
    <s v="64"/>
    <s v="12"/>
    <x v="0"/>
  </r>
  <r>
    <s v="OPP-10041"/>
    <s v="ACC-1026"/>
    <s v="Obsidian Bank"/>
    <s v="Amanda Rios"/>
    <s v="Obsidian Bank - DDM - Media - Managed Media (AOR) - 05/2026"/>
    <s v="Change Order/Upsell"/>
    <x v="1"/>
    <n v="242040.36"/>
    <s v="BRL"/>
    <n v="242040.36"/>
    <s v="BRL"/>
    <s v="DDM - Media - Managed Media (AOR)"/>
    <d v="2026-05-31T00:00:00"/>
    <d v="2025-11-14T00:00:00"/>
    <s v="Inbound - Current Client (DEPRECATED)"/>
    <s v="São Carlos, BR"/>
    <s v="117"/>
    <s v="12"/>
    <x v="0"/>
  </r>
  <r>
    <s v="OPP-10125"/>
    <s v="ACC-1055"/>
    <s v="Olive Hospitality"/>
    <s v="Xavier Correia"/>
    <s v="Olive Hospitality - DDM - Media - Managed Media (AOR) - 04/2026"/>
    <s v="Project - Not Competitive"/>
    <x v="3"/>
    <n v="362880"/>
    <s v="BRL"/>
    <n v="314880"/>
    <s v="BRL"/>
    <s v="DDM - Media - Managed Media (AOR)"/>
    <d v="2026-04-30T00:00:00"/>
    <d v="2026-06-02T00:00:00"/>
    <s v="Referral - Partner - Google Cloud"/>
    <s v="São Carlos, BR"/>
    <s v="36"/>
    <s v="12"/>
    <x v="2"/>
  </r>
  <r>
    <s v="OPP-10190"/>
    <s v="ACC-1047"/>
    <s v="Oregano Air"/>
    <s v="Nicolas Teixeira"/>
    <s v="Oregano Air - DDM - Media - Managed Media (AOR) - 05/2026"/>
    <s v="Project - Not Competitive"/>
    <x v="4"/>
    <n v="31256.14"/>
    <s v="BRL"/>
    <n v="10256.14"/>
    <s v="BRL"/>
    <s v="DDM - Media - Managed Media (AOR)"/>
    <d v="2026-05-29T00:00:00"/>
    <d v="2026-03-20T00:00:00"/>
    <s v="Inbound - Website - Media.Monks (DEPRECATED)"/>
    <s v="São Carlos, BR"/>
    <s v="4"/>
    <s v="12"/>
    <x v="3"/>
  </r>
  <r>
    <s v="OPP-10137"/>
    <s v="ACC-1068"/>
    <s v="Poppy Media"/>
    <s v="Nicolas Teixeira"/>
    <s v="Poppy Media - DDM - Media - Managed Media (AOR) - 05/2026"/>
    <s v="Project - Not Competitive"/>
    <x v="1"/>
    <n v="372818.4"/>
    <s v="BRL"/>
    <n v="372818.4"/>
    <s v="BRL"/>
    <s v="DDM - Media - Managed Media (AOR)"/>
    <d v="2026-05-29T00:00:00"/>
    <d v="2026-02-13T00:00:00"/>
    <s v="Inbound - Website (DEPRECATED)"/>
    <s v="São Carlos, BR"/>
    <s v="43"/>
    <s v="12"/>
    <x v="3"/>
  </r>
  <r>
    <s v="OPP-10024"/>
    <s v="ACC-1051"/>
    <s v="Pyrite Fintech"/>
    <s v="Karina Oliveira"/>
    <s v="Pyrite Fintech - DDM - Media - Managed Media (AOR) - 04/2026"/>
    <s v="Change Order/Upsell"/>
    <x v="0"/>
    <n v="593400"/>
    <s v="BRL"/>
    <n v="248251.44"/>
    <s v="BRL"/>
    <s v="DDM - Media - Managed Media (AOR)"/>
    <d v="2026-04-30T00:00:00"/>
    <d v="2025-10-10T00:00:00"/>
    <s v="Inbound - Current Client (DEPRECATED)"/>
    <s v="São Carlos, BR"/>
    <s v="127"/>
    <s v="12"/>
    <x v="0"/>
  </r>
  <r>
    <s v="OPP-10139"/>
    <s v="ACC-1070"/>
    <s v="Quinoa Foods"/>
    <s v="Wanda Borges"/>
    <s v="Quinoa Foods - DDM - CRM - Salesforce Marketing Cloud - 01/2026"/>
    <s v="Project - Competitive"/>
    <x v="0"/>
    <n v="1184791"/>
    <s v="BRL"/>
    <n v="777971"/>
    <s v="BRL"/>
    <s v="DDM - Media - Managed Media (AOR)"/>
    <d v="2026-04-24T00:00:00"/>
    <d v="2026-02-18T00:00:00"/>
    <s v="Referral - S4 Company"/>
    <s v="São Paulo, BR"/>
    <s v="26"/>
    <s v="10"/>
    <x v="2"/>
  </r>
  <r>
    <s v="OPP-10031"/>
    <s v="ACC-1070"/>
    <s v="Quinoa Foods"/>
    <s v="Wanda Borges"/>
    <s v="Quinoa Foods - DDM - Media - Managed Media (AOR) - 04/2026"/>
    <s v="Project - Competitive"/>
    <x v="2"/>
    <n v="1014586.08"/>
    <s v="BRL"/>
    <n v="472133.4"/>
    <s v="BRL"/>
    <s v="DDM - Media - Managed Media (AOR)"/>
    <d v="2026-06-01T00:00:00"/>
    <d v="2025-10-27T00:00:00"/>
    <s v="Prospecting - Current Client (DEPRECATED)"/>
    <s v="São Paulo, BR"/>
    <s v="98"/>
    <s v="6"/>
    <x v="0"/>
  </r>
  <r>
    <s v="OPP-10039"/>
    <s v="ACC-1057"/>
    <s v="Raven Sports"/>
    <s v="Carla Mendes"/>
    <s v="Raven Sports - DDM - Media - Managed Media (AOR) - 03/2026"/>
    <s v="Change Order/Upsell"/>
    <x v="2"/>
    <n v="88063.48"/>
    <s v="BRL"/>
    <n v="88063.48"/>
    <s v="BRL"/>
    <s v="DDM - Media - Managed Media (AOR)"/>
    <d v="2026-12-03T00:00:00"/>
    <d v="2025-11-13T00:00:00"/>
    <s v="Don't Know/Other (DEPRECATED)"/>
    <s v="Votorantim, BR"/>
    <n v="33"/>
    <s v="4"/>
    <x v="1"/>
  </r>
  <r>
    <s v="OPP-10078"/>
    <s v="ACC-1057"/>
    <s v="Raven Sports"/>
    <s v="Carla Mendes"/>
    <s v="Raven Sports - DDM - Media - Managed Media (AOR) - 03/2026"/>
    <s v="Change Order/Upsell"/>
    <x v="2"/>
    <n v="44031.74"/>
    <s v="BRL"/>
    <n v="44031.74"/>
    <s v="BRL"/>
    <s v="DDM - Media - Managed Media (AOR)"/>
    <d v="2026-02-02T00:00:00"/>
    <d v="2025-12-19T00:00:00"/>
    <s v="Inbound - Current Client (DEPRECATED)"/>
    <s v="Votorantim, BR"/>
    <s v="71"/>
    <s v="1"/>
    <x v="0"/>
  </r>
  <r>
    <s v="OPP-10022"/>
    <s v="ACC-1057"/>
    <s v="Raven Sports"/>
    <s v="Carla Mendes"/>
    <s v="Raven Sports - DDM - Media - Managed Media (AOR) - 01/2026"/>
    <s v="Flex/Renewal"/>
    <x v="2"/>
    <n v="286200"/>
    <s v="BRL"/>
    <n v="286200"/>
    <s v="BRL"/>
    <s v="DDM - Media - Managed Media (AOR)"/>
    <d v="2026-12-03T00:00:00"/>
    <d v="2025-09-10T00:00:00"/>
    <s v="Inbound - Current Client (DEPRECATED)"/>
    <s v="Votorantim, BR"/>
    <s v="33"/>
    <s v="4"/>
    <x v="0"/>
  </r>
  <r>
    <s v="OPP-10077"/>
    <s v="ACC-1057"/>
    <s v="Raven Sports"/>
    <s v="Carla Mendes"/>
    <s v="Raven Sports - DDM - Media - Managed Media (AOR) - 02/2026"/>
    <s v="Flex/Renewal"/>
    <x v="2"/>
    <n v="143100"/>
    <s v="BRL"/>
    <n v="143100"/>
    <s v="BRL"/>
    <s v="DDM - Media - Managed Media (AOR)"/>
    <d v="2026-01-31T00:00:00"/>
    <d v="2025-12-19T00:00:00"/>
    <s v="Inbound - Current Client (DEPRECATED)"/>
    <s v="Votorantim, BR"/>
    <s v="71"/>
    <s v="1"/>
    <x v="0"/>
  </r>
  <r>
    <s v="OPP-10025"/>
    <s v="ACC-1027"/>
    <s v="Rosemary Auto"/>
    <s v="Daniel Moura"/>
    <s v="Rosemary Auto - DDM - Media - Managed Media (AOR) - 01/2026"/>
    <s v="Flex/Renewal"/>
    <x v="2"/>
    <n v="733504.44"/>
    <s v="BRL"/>
    <n v="733504.44"/>
    <s v="BRL"/>
    <s v="DDM - Media - Managed Media (AOR)"/>
    <d v="2026-12-01T00:00:00"/>
    <d v="2025-10-16T00:00:00"/>
    <s v="Inbound - Current Client (DEPRECATED)"/>
    <s v="São Carlos, BR"/>
    <s v="92"/>
    <s v="12"/>
    <x v="0"/>
  </r>
  <r>
    <s v="OPP-10164"/>
    <s v="ACC-1036"/>
    <s v="Rowan Energy"/>
    <s v="Pedro Martins"/>
    <s v="Rowan Energy - DDM - Media - Creative - 03/2026"/>
    <s v="Change Order/Upsell"/>
    <x v="2"/>
    <n v="274209.96999999997"/>
    <s v="BRL"/>
    <n v="184049.73"/>
    <s v="BRL"/>
    <s v="DDM - Media - Managed Media (AOR)"/>
    <d v="2026-05-03T00:00:00"/>
    <d v="2026-05-03T00:00:00"/>
    <s v="Inbound - Current Client (DEPRECATED)"/>
    <s v="Votorantim, BR"/>
    <s v="40"/>
    <s v="1"/>
    <x v="0"/>
  </r>
  <r>
    <s v="OPP-10163"/>
    <s v="ACC-1036"/>
    <s v="Rowan Energy"/>
    <s v="Pedro Martins"/>
    <s v="Rowan Energy - DDM - Media - Managed Media (AOR) - 03/2026"/>
    <s v="Flex/Renewal"/>
    <x v="2"/>
    <n v="440332.96"/>
    <s v="BRL"/>
    <n v="440332.96"/>
    <s v="BRL"/>
    <s v="DDM - Media - Managed Media (AOR)"/>
    <d v="2026-05-03T00:00:00"/>
    <d v="2026-05-03T00:00:00"/>
    <s v="Inbound - Current Client (DEPRECATED)"/>
    <s v="Votorantim, BR"/>
    <s v="40"/>
    <s v="12"/>
    <x v="0"/>
  </r>
  <r>
    <s v="OPP-10044"/>
    <s v="ACC-1063"/>
    <s v="Saffron Fashion"/>
    <s v="Ana Silva"/>
    <s v="Saffron Fashion - Content - Platform - Performance, SEO, CRM &amp; Loyalty - 01/2026"/>
    <s v="Change Order/Upsell"/>
    <x v="2"/>
    <n v="2518147.83"/>
    <s v="BRL"/>
    <n v="1321676.1499999999"/>
    <s v="BRL"/>
    <s v="DDM - Media - Managed Media (AOR)"/>
    <d v="2026-12-01T00:00:00"/>
    <d v="2025-11-14T00:00:00"/>
    <s v="Inbound - Current Client (DEPRECATED)"/>
    <s v="São Carlos, BR"/>
    <s v="92"/>
    <s v="12"/>
    <x v="0"/>
  </r>
  <r>
    <s v="OPP-10072"/>
    <s v="ACC-1063"/>
    <s v="Saffron Fashion"/>
    <s v="Ana Silva"/>
    <s v="Saffron Fashion - DDM - Data - Services &amp; Tech - Services (Analytics &amp; Support) - 01/2026"/>
    <s v="Flex/Renewal"/>
    <x v="2"/>
    <n v="6770269.9100000001"/>
    <s v="BRL"/>
    <n v="3986192.66"/>
    <s v="BRL"/>
    <s v="DDM - Media - Managed Media (AOR)"/>
    <d v="2026-01-27T00:00:00"/>
    <d v="2025-12-15T00:00:00"/>
    <s v="Inbound - Current Client (DEPRECATED)"/>
    <s v="São Carlos, BR"/>
    <s v="77"/>
    <s v="12"/>
    <x v="0"/>
  </r>
  <r>
    <s v="OPP-10072"/>
    <s v="ACC-1063"/>
    <s v="Saffron Fashion"/>
    <s v="Ana Silva"/>
    <s v="Saffron Fashion - Content - Platform - Performance, SEO, CRM &amp; Loyalty - 01/2026"/>
    <s v="Flex/Renewal"/>
    <x v="2"/>
    <n v="6770269.9100000001"/>
    <s v="BRL"/>
    <n v="272925.34999999998"/>
    <s v="BRL"/>
    <s v="DDM - Media - Managed Media (AOR)"/>
    <d v="2026-01-27T00:00:00"/>
    <d v="2025-12-15T00:00:00"/>
    <s v="Inbound - Current Client (DEPRECATED)"/>
    <s v="São Carlos, BR"/>
    <s v="77"/>
    <s v="12"/>
    <x v="0"/>
  </r>
  <r>
    <s v="OPP-10032"/>
    <s v="ACC-1063"/>
    <s v="Saffron Fashion"/>
    <s v="Ana Silva"/>
    <s v="Saffron Fashion - DDM - Data - Services &amp; Tech - Services (Analytics &amp; Support) - 01/2026"/>
    <s v="Change Order/Upsell"/>
    <x v="2"/>
    <n v="722935.92"/>
    <s v="BRL"/>
    <n v="607803.12"/>
    <s v="BRL"/>
    <s v="DDM - Media - Managed Media (AOR)"/>
    <d v="2026-05-01T00:00:00"/>
    <d v="2025-10-29T00:00:00"/>
    <s v="Inbound - Current Client (DEPRECATED)"/>
    <s v="São Carlos, BR"/>
    <s v="99"/>
    <s v="12"/>
    <x v="0"/>
  </r>
  <r>
    <s v="OPP-10226"/>
    <s v="ACC-1063"/>
    <s v="Saffron Fashion"/>
    <s v="Ana Silva"/>
    <s v="Saffron Fashion - Content - Platform - Performance, SEO, CRM &amp; Loyalty - 05/2026"/>
    <s v="Change Order/Upsell"/>
    <x v="4"/>
    <n v="706759.68000000005"/>
    <s v="BRL"/>
    <n v="706759.68000000005"/>
    <s v="BRL"/>
    <s v="DDM - Media - Managed Media (AOR)"/>
    <d v="2026-06-30T00:00:00"/>
    <d v="2026-06-04T00:00:00"/>
    <s v="Existing Client - Account/Growth Activity"/>
    <s v="São Carlos, BR"/>
    <s v="8"/>
    <s v="12"/>
    <x v="0"/>
  </r>
  <r>
    <s v="OPP-10102"/>
    <s v="ACC-1063"/>
    <s v="Saffron Fashion"/>
    <s v="Ana Silva"/>
    <s v="Saffron Fashion - DDM - Media - Managed Media (AOR) - 06/2026"/>
    <s v="Flex/Renewal"/>
    <x v="2"/>
    <n v="299999.59999999998"/>
    <s v="BRL"/>
    <n v="299999.59999999998"/>
    <s v="BRL"/>
    <s v="DDM - Media - Managed Media (AOR)"/>
    <d v="2026-03-23T00:00:00"/>
    <d v="2026-01-22T00:00:00"/>
    <s v="Inbound - Current Client (DEPRECATED)"/>
    <s v="São Carlos, BR"/>
    <s v="22"/>
    <s v="12"/>
    <x v="0"/>
  </r>
  <r>
    <s v="OPP-10225"/>
    <s v="ACC-1089"/>
    <s v="Sage Streaming"/>
    <s v="Karina Oliveira"/>
    <s v="Sage Streaming -  - 05/2026"/>
    <s v="Change Order/Upsell"/>
    <x v="4"/>
    <n v="173729.16"/>
    <s v="BRL"/>
    <n v="173729.16"/>
    <s v="BRL"/>
    <s v="DDM - Media - Managed Media (AOR)"/>
    <d v="2026-05-29T00:00:00"/>
    <d v="2026-02-04T00:00:00"/>
    <s v="MH Lead (DEPRECATED)"/>
    <s v="Votorantim, BR"/>
    <s v="4"/>
    <s v="12"/>
    <x v="1"/>
  </r>
  <r>
    <s v="OPP-10023"/>
    <s v="ACC-1038"/>
    <s v="Sumac Telecom"/>
    <s v="Pedro Martins"/>
    <s v="Sumac Telecom - DDM - Media - Managed Media (AOR) - 03/2026"/>
    <s v="Flex/Renewal"/>
    <x v="2"/>
    <n v="1758176.04"/>
    <s v="BRL"/>
    <n v="1310372.04"/>
    <s v="BRL"/>
    <s v="DDM - Media - Managed Media (AOR)"/>
    <d v="2026-09-03T00:00:00"/>
    <d v="2025-09-10T00:00:00"/>
    <s v="Inbound - Current Client (DEPRECATED)"/>
    <s v="Votorantim, BR"/>
    <s v="36"/>
    <s v="12"/>
    <x v="0"/>
  </r>
  <r>
    <s v="OPP-10101"/>
    <s v="ACC-1038"/>
    <s v="Sumac Telecom"/>
    <s v="Pedro Martins"/>
    <s v="Sumac Telecom - DDM - Media - Managed Media (AOR) - 03/2026"/>
    <s v="Change Order/Upsell"/>
    <x v="2"/>
    <n v="157479.96"/>
    <s v="BRL"/>
    <n v="157479.96"/>
    <s v="BRL"/>
    <s v="DDM - Media - Managed Media (AOR)"/>
    <d v="2026-09-03T00:00:00"/>
    <d v="2026-01-21T00:00:00"/>
    <s v="Inbound - Current Client (DEPRECATED)"/>
    <s v="Votorantim, BR"/>
    <s v="36"/>
    <s v="12"/>
    <x v="0"/>
  </r>
  <r>
    <s v="OPP-10192"/>
    <s v="ACC-1034"/>
    <s v="Ume Insurance"/>
    <s v="Xavier Correia"/>
    <s v="Ume Insurance - DDM - Media - Managed Media (AOR) - 05/2026"/>
    <s v="Project - Competitive"/>
    <x v="4"/>
    <n v="1528601.1600000001"/>
    <s v="BRL"/>
    <n v="960665.16"/>
    <s v="BRL"/>
    <s v="DDM - Media - Managed Media (AOR)"/>
    <d v="2026-05-31T00:00:00"/>
    <d v="2026-03-20T00:00:00"/>
    <s v="Inbound - Website - Media.Monks (DEPRECATED)"/>
    <s v="São Carlos, BR"/>
    <s v="4"/>
    <s v="12"/>
    <x v="3"/>
  </r>
  <r>
    <s v="OPP-10135"/>
    <s v="ACC-1030"/>
    <s v="Vertex Apparel"/>
    <s v="Carla Mendes"/>
    <s v="Vertex Apparel - DDM - Media - Managed Media (AOR) - 04/2026"/>
    <s v="Passthrough"/>
    <x v="0"/>
    <n v="72720"/>
    <s v="BRL"/>
    <n v="72720"/>
    <s v="BRL"/>
    <s v="DDM - Media - Managed Media (AOR)"/>
    <d v="2026-04-28T00:00:00"/>
    <d v="2026-02-13T00:00:00"/>
    <s v="Inbound - Website (DEPRECATED)"/>
    <s v="São Carlos, BR"/>
    <s v="47"/>
    <s v="12"/>
    <x v="3"/>
  </r>
  <r>
    <s v="OPP-10136"/>
    <s v="ACC-1030"/>
    <s v="Vertex Apparel"/>
    <s v="Carla Mendes"/>
    <s v="Vertex Apparel - DDM - Media - Managed Media (AOR) - 04/2026"/>
    <s v="Change Order/Upsell"/>
    <x v="0"/>
    <n v="208391.64"/>
    <s v="BRL"/>
    <n v="208391.64"/>
    <s v="BRL"/>
    <s v="DDM - Media - Managed Media (AOR)"/>
    <d v="2026-04-30T00:00:00"/>
    <d v="2026-02-13T00:00:00"/>
    <s v="Inbound - Current Client (DEPRECATED)"/>
    <s v="São Carlos, BR"/>
    <s v="47"/>
    <s v="12"/>
    <x v="0"/>
  </r>
  <r>
    <s v="OPP-10159"/>
    <s v="ACC-1111"/>
    <s v="Walnut Manufacturing"/>
    <s v="Wanda Borges"/>
    <s v="Walnut Manufacturing - DDM - Media - Managed Media (AOR) - 05/2026"/>
    <s v="Project - Competitive"/>
    <x v="1"/>
    <n v="2133050.04"/>
    <s v="BRL"/>
    <n v="321776.88"/>
    <s v="BRL"/>
    <s v="DDM - Media - Managed Media (AOR)"/>
    <d v="2026-05-29T00:00:00"/>
    <d v="2026-03-03T00:00:00"/>
    <s v="Inbound - Website - Media.Monks (DEPRECATED)"/>
    <s v="Votorantim, BR"/>
    <s v="15"/>
    <s v="12"/>
    <x v="3"/>
  </r>
  <r>
    <s v="OPP-10214"/>
    <s v="ACC-1103"/>
    <s v="Wormwood Bank"/>
    <s v="Joao Pereira"/>
    <s v="Wormwood Bank - DDM - Media - Managed Media (AOR) - 04/2026"/>
    <s v="Project - Competitive"/>
    <x v="0"/>
    <n v="259731.72"/>
    <s v="BRL"/>
    <n v="259731.72"/>
    <s v="BRL"/>
    <s v="DDM - Media - Managed Media (AOR)"/>
    <d v="2026-04-30T00:00:00"/>
    <d v="2026-03-31T00:00:00"/>
    <s v="Referral - Internal"/>
    <s v="Votorantim, BR"/>
    <s v="3"/>
    <s v="12"/>
    <x v="2"/>
  </r>
  <r>
    <s v="OPP-10207"/>
    <s v="ACC-1043"/>
    <s v="Xanadu Media"/>
    <s v="Bernardo Castro"/>
    <s v="Xanadu Media - Content - Platform - Website Creation &amp; Production - 06/2026"/>
    <s v="Change Order/Upsell"/>
    <x v="1"/>
    <n v="838800"/>
    <s v="BRL"/>
    <n v="198000"/>
    <s v="BRL"/>
    <s v="DDM - Media - Managed Media (AOR)"/>
    <d v="2026-06-30T00:00:00"/>
    <d v="2026-03-30T00:00:00"/>
    <s v="Prospecting - Current Client (DEPRECATED)"/>
    <s v="Votorantim, BR"/>
    <s v="5"/>
    <s v="12"/>
    <x v="0"/>
  </r>
  <r>
    <s v="OPP-10241"/>
    <s v="ACC-1081"/>
    <s v="Yarrow Health"/>
    <s v="Amanda Rios"/>
    <s v="Yarrow Health - DDM - Media - Managed Media (AOR) - 06/2026"/>
    <s v="Flex/Renewal"/>
    <x v="4"/>
    <n v="695284.8"/>
    <s v="BRL"/>
    <n v="354008.4"/>
    <s v="BRL"/>
    <s v="DDM - Media - Managed Media (AOR)"/>
    <d v="2026-06-30T00:00:00"/>
    <d v="2026-10-04T00:00:00"/>
    <s v="Existing Client - Account/Growth Activity"/>
    <s v="São Carlos, BR"/>
    <s v="4"/>
    <s v="12"/>
    <x v="0"/>
  </r>
  <r>
    <s v="OPP-10051"/>
    <s v="ACC-1044"/>
    <s v="Yerba Studios"/>
    <s v="Carla Mendes"/>
    <s v="Yerba Studios - DDM - Media - Managed Media (AOR) - 01/2026"/>
    <s v="Flex/Renewal"/>
    <x v="2"/>
    <n v="760000"/>
    <s v="BRL"/>
    <n v="400000"/>
    <s v="BRL"/>
    <s v="DDM - Media - Managed Media (AOR)"/>
    <d v="2026-01-27T00:00:00"/>
    <d v="2025-11-26T00:00:00"/>
    <s v="Inbound - Current Client (DEPRECATED)"/>
    <s v="São Carlos, BR"/>
    <s v="77"/>
    <s v="12"/>
    <x v="0"/>
  </r>
  <r>
    <s v="OPP-10048"/>
    <s v="ACC-1106"/>
    <s v="Yucca Farms"/>
    <s v="Joao Pereira"/>
    <s v="Yucca Farms - DDM - Media - Managed Media (AOR) - 03/2026"/>
    <s v="Project - Competitive"/>
    <x v="2"/>
    <n v="195525"/>
    <s v="BRL"/>
    <n v="57430.080000000002"/>
    <s v="BRL"/>
    <s v="DDM - Media - Managed Media (AOR)"/>
    <d v="2026-03-31T00:00:00"/>
    <d v="2025-11-26T00:00:00"/>
    <s v="Referral - Personal"/>
    <s v="Votorantim, BR"/>
    <s v="14"/>
    <s v="3"/>
    <x v="2"/>
  </r>
  <r>
    <s v="OPP-10172"/>
    <s v="ACC-1085"/>
    <s v="Yumberry Mobile"/>
    <s v="Felipe Lima"/>
    <s v="Yumberry Mobile - DDM - Media - Managed Media (AOR) - 05/2026"/>
    <s v="Project - Competitive"/>
    <x v="3"/>
    <n v="835250.32000000007"/>
    <s v="BRL"/>
    <n v="365077.92"/>
    <s v="BRL"/>
    <s v="DDM - Media - Managed Media (AOR)"/>
    <d v="2026-05-13T00:00:00"/>
    <d v="2026-11-03T00:00:00"/>
    <s v="Referral - Internal"/>
    <s v="São Carlos, BR"/>
    <s v="25"/>
    <s v="12"/>
    <x v="2"/>
  </r>
  <r>
    <s v="OPP-10009"/>
    <s v="ACC-1029"/>
    <s v="Zephyr Telecom"/>
    <s v="Ana Silva"/>
    <s v="Zephyr Telecom - DDM - Data - Services &amp; Tech - Services (Analytics &amp; Support) - 01/2026"/>
    <s v="Flex/Renewal"/>
    <x v="2"/>
    <n v="8047338.7199999997"/>
    <s v="BRL"/>
    <n v="8047338.7199999997"/>
    <s v="BRL"/>
    <s v="DDM - Media - Managed Media (AOR)"/>
    <d v="2026-02-27T00:00:00"/>
    <d v="2025-08-22T00:00:00"/>
    <s v="Inbound - Current Client (DEPRECATED)"/>
    <s v="São Carlos, BR"/>
    <s v="46"/>
    <s v="12"/>
    <x v="0"/>
  </r>
  <r>
    <s v="OPP-10033"/>
    <s v="ACC-1029"/>
    <s v="Zephyr Telecom"/>
    <s v="Ana Silva"/>
    <s v="Zephyr Telecom - DDM - Media - Managed Media (AOR) - 02/2026"/>
    <s v="Change Order/Upsell"/>
    <x v="2"/>
    <n v="3208257.54"/>
    <s v="BRL"/>
    <n v="3208257.54"/>
    <s v="BRL"/>
    <s v="DDM - Media - Managed Media (AOR)"/>
    <d v="2026-02-27T00:00:00"/>
    <d v="2025-10-30T00:00:00"/>
    <s v="Inbound - Current Client (DEPRECATED)"/>
    <s v="São Carlos, BR"/>
    <s v="46"/>
    <s v="12"/>
    <x v="0"/>
  </r>
  <r>
    <s v="OPP-10043"/>
    <s v="ACC-1029"/>
    <s v="Zephyr Telecom"/>
    <s v="Ana Silva"/>
    <s v="Zephyr Telecom - DDM - Media - Managed Media (AOR) - 02/2026"/>
    <s v="Flex/Renewal"/>
    <x v="2"/>
    <n v="4260383.32"/>
    <s v="BRL"/>
    <n v="2863609.66"/>
    <s v="BRL"/>
    <s v="DDM - Media - Managed Media (AOR)"/>
    <d v="2026-09-03T00:00:00"/>
    <d v="2025-11-14T00:00:00"/>
    <s v="Inbound - Current Client (DEPRECATED)"/>
    <s v="São Carlos, BR"/>
    <s v="36"/>
    <s v="12"/>
    <x v="0"/>
  </r>
  <r>
    <s v="OPP-10045"/>
    <s v="ACC-1029"/>
    <s v="Zephyr Telecom"/>
    <s v="Ana Silva"/>
    <s v="Zephyr Telecom - Content - Platform - Performance, SEO, CRM &amp; Loyalty - 03/2026"/>
    <s v="Flex/Renewal"/>
    <x v="2"/>
    <n v="3785206.2099999995"/>
    <s v="BRL"/>
    <n v="2191904.46"/>
    <s v="BRL"/>
    <s v="DDM - Media - Managed Media (AOR)"/>
    <d v="2026-02-13T00:00:00"/>
    <d v="2025-11-14T00:00:00"/>
    <s v="Inbound - Current Client (DEPRECATED)"/>
    <s v="São Carlos, BR"/>
    <s v="60"/>
    <s v="12"/>
    <x v="0"/>
  </r>
  <r>
    <s v="OPP-10059"/>
    <s v="ACC-1029"/>
    <s v="Zephyr Telecom"/>
    <s v="Ana Silva"/>
    <s v="Zephyr Telecom - DDM - Media - Managed Media (AOR) - 03/2026"/>
    <s v="Flex/Renewal"/>
    <x v="2"/>
    <n v="490082.16"/>
    <s v="BRL"/>
    <n v="346082.16"/>
    <s v="BRL"/>
    <s v="DDM - Media - Managed Media (AOR)"/>
    <d v="2026-11-03T00:00:00"/>
    <d v="2025-02-12T00:00:00"/>
    <s v="Inbound - Current Client (DEPRECATED)"/>
    <s v="São Carlos, BR"/>
    <s v="34"/>
    <s v="12"/>
    <x v="0"/>
  </r>
  <r>
    <s v="OPP-10092"/>
    <s v="ACC-1029"/>
    <s v="Zephyr Telecom"/>
    <s v="Ana Silva"/>
    <s v="Zephyr Telecom - DDM - Data - Services &amp; Tech - Services (Analytics &amp; Support) - 04/2026"/>
    <s v="Change Order/Upsell"/>
    <x v="2"/>
    <n v="492000"/>
    <s v="BRL"/>
    <n v="492000"/>
    <s v="BRL"/>
    <s v="DDM - Media - Managed Media (AOR)"/>
    <d v="2026-11-03T00:00:00"/>
    <d v="2026-01-13T00:00:00"/>
    <s v="Inbound - Current Client (DEPRECATED)"/>
    <s v="São Carlos, BR"/>
    <s v="34"/>
    <s v="12"/>
    <x v="0"/>
  </r>
  <r>
    <s v="OPP-10104"/>
    <s v="ACC-1029"/>
    <s v="Zephyr Telecom"/>
    <s v="Ana Silva"/>
    <s v="Zephyr Telecom - Content - Platform - Performance, SEO, CRM &amp; Loyalty - 03/2026"/>
    <s v="Change Order/Upsell"/>
    <x v="2"/>
    <n v="144000"/>
    <s v="BRL"/>
    <n v="144000"/>
    <s v="BRL"/>
    <s v="DDM - Media - Managed Media (AOR)"/>
    <d v="2026-02-13T00:00:00"/>
    <d v="2026-01-22T00:00:00"/>
    <s v="Inbound - Current Client (DEPRECATED)"/>
    <s v="São Carlos, BR"/>
    <s v="60"/>
    <s v="12"/>
    <x v="0"/>
  </r>
  <r>
    <s v="OPP-10256"/>
    <s v="ACC-1029"/>
    <s v="Zephyr Telecom"/>
    <s v="Ana Silva"/>
    <s v="Zephyr Telecom - DDM - Media - Managed Media (AOR) - 02/2026"/>
    <s v="Change Order/Upsell"/>
    <x v="0"/>
    <n v="111296.52"/>
    <s v="BRL"/>
    <n v="111296.52"/>
    <s v="BRL"/>
    <s v="DDM - Media - Managed Media (AOR)"/>
    <d v="2026-05-13T00:00:00"/>
    <d v="2026-04-13T00:00:00"/>
    <s v="Existing Client - Account/Growth Activity"/>
    <s v="São Carlos, BR"/>
    <s v="1"/>
    <s v="12"/>
    <x v="0"/>
  </r>
  <r>
    <s v="OPP-10179"/>
    <s v="ACC-1029"/>
    <s v="Zephyr Telecom"/>
    <s v="Ana Silva"/>
    <s v="Zephyr Telecom - DDM - Media - Managed Media (AOR) - 03/2026"/>
    <s v="Flex/Renewal"/>
    <x v="0"/>
    <n v="709465.68"/>
    <s v="BRL"/>
    <n v="565465.68000000005"/>
    <s v="BRL"/>
    <s v="DDM - Media - Managed Media (AOR)"/>
    <d v="2026-04-30T00:00:00"/>
    <d v="2026-12-03T00:00:00"/>
    <s v="Inbound - Current Client (DEPRECATED)"/>
    <s v="São Carlos, BR"/>
    <s v="28"/>
    <s v="12"/>
    <x v="0"/>
  </r>
  <r>
    <s v="OPP-10127"/>
    <s v="ACC-1029"/>
    <s v="Zephyr Telecom"/>
    <s v="Ana Silva"/>
    <s v="Zephyr Telecom - DDM - Media - Managed Media (AOR) - 04/2026"/>
    <s v="Change Order/Upsell"/>
    <x v="2"/>
    <n v="24501.84"/>
    <s v="BRL"/>
    <n v="24501.84"/>
    <s v="BRL"/>
    <s v="DDM - Media - Managed Media (AOR)"/>
    <d v="2026-11-03T00:00:00"/>
    <d v="2026-10-02T00:00:00"/>
    <s v="Inbound - Current Client (DEPRECATED)"/>
    <s v="São Carlos, BR"/>
    <s v="34"/>
    <s v="12"/>
    <x v="0"/>
  </r>
  <r>
    <s v="OPP-10088"/>
    <s v="ACC-1029"/>
    <s v="Zephyr Telecom"/>
    <s v="Ana Silva"/>
    <s v="Zephyr Telecom -  - 06/2026"/>
    <s v="Change Order/Upsell"/>
    <x v="2"/>
    <n v="5000"/>
    <s v="BRL"/>
    <n v="5000"/>
    <s v="BRL"/>
    <s v="DDM - Media - Managed Media (AOR)"/>
    <d v="2026-12-01T00:00:00"/>
    <d v="2026-09-01T00:00:00"/>
    <s v="Inbound - Current Client (DEPRECATED)"/>
    <s v="São Paulo, BR"/>
    <s v="92"/>
    <s v="1"/>
    <x v="0"/>
  </r>
  <r>
    <s v="OPP-10116"/>
    <s v="ACC-1029"/>
    <s v="Zephyr Telecom"/>
    <s v="Ana Silva"/>
    <s v="Zephyr Telecom -  - 06/2026"/>
    <s v="Change Order/Upsell"/>
    <x v="2"/>
    <n v="5000"/>
    <s v="BRL"/>
    <n v="5000"/>
    <s v="BRL"/>
    <s v="DDM - Media - Managed Media (AOR)"/>
    <d v="2026-02-19T00:00:00"/>
    <d v="2026-02-02T00:00:00"/>
    <s v="Inbound - Current Client (DEPRECATED)"/>
    <s v="São Carlos, BR"/>
    <s v="54"/>
    <s v="1"/>
    <x v="0"/>
  </r>
  <r>
    <s v="OPP-10235"/>
    <s v="ACC-1029"/>
    <s v="Zephyr Telecom"/>
    <s v="Ana Silva"/>
    <s v="Zephyr Telecom - DDM - Media - Managed Media (AOR) - 05/2026"/>
    <s v="Change Order/Upsell"/>
    <x v="6"/>
    <n v="0"/>
    <s v="BRL"/>
    <n v="0"/>
    <s v="BRL"/>
    <s v="DDM - Media - Managed Media (AOR)"/>
    <d v="2026-06-30T00:00:00"/>
    <d v="2026-09-04T00:00:00"/>
    <s v="MH Lead (DEPRECATED)"/>
    <s v="São Carlos, BR"/>
    <s v="5"/>
    <s v="12"/>
    <x v="1"/>
  </r>
  <r>
    <s v="OPP-10008"/>
    <s v="ACC-1015"/>
    <s v="Zinnia Apparel"/>
    <s v="Ana Silva"/>
    <s v="Zinnia Apparel - DDM - Media - Managed Media (AOR) - 03/2026"/>
    <s v="Flex/Renewal"/>
    <x v="2"/>
    <n v="2706200.27"/>
    <s v="BRL"/>
    <n v="145409.64000000001"/>
    <s v="BRL"/>
    <s v="DDM - Media - Managed Media (AOR)"/>
    <d v="2026-03-31T00:00:00"/>
    <d v="2025-08-22T00:00:00"/>
    <s v="Inbound - Current Client (DEPRECATED)"/>
    <s v="São Carlos, BR"/>
    <s v="14"/>
    <s v="12"/>
    <x v="0"/>
  </r>
  <r>
    <s v="OPP-10008"/>
    <s v="ACC-1015"/>
    <s v="Zinnia Apparel"/>
    <s v="Ana Silva"/>
    <s v="Zinnia Apparel - DDM - Media - Managed Media (AOR) - 03/2026"/>
    <s v="Flex/Renewal"/>
    <x v="2"/>
    <n v="2706200.27"/>
    <s v="BRL"/>
    <n v="1917154.65"/>
    <s v="BRL"/>
    <s v="DDM - Media - Managed Media (AOR)"/>
    <d v="2026-03-31T00:00:00"/>
    <d v="2025-08-22T00:00:00"/>
    <s v="Inbound - Current Client (DEPRECATED)"/>
    <s v="São Carlos, BR"/>
    <s v="14"/>
    <s v="12"/>
    <x v="0"/>
  </r>
  <r>
    <s v="OPP-10237"/>
    <s v="ACC-1015"/>
    <s v="Zinnia Apparel"/>
    <s v="Ana Silva"/>
    <s v="Zinnia Apparel - DDM - Media - Managed Media (AOR) - 03/2026"/>
    <s v="Change Order/Upsell"/>
    <x v="3"/>
    <n v="260250.72"/>
    <s v="BRL"/>
    <n v="260250.72"/>
    <s v="BRL"/>
    <s v="DDM - Media - Managed Media (AOR)"/>
    <d v="2026-06-30T00:00:00"/>
    <d v="2026-09-04T00:00:00"/>
    <s v="Existing Client - Account/Growth Activity"/>
    <s v="São Carlos, BR"/>
    <s v="5"/>
    <s v="12"/>
    <x v="0"/>
  </r>
  <r>
    <s v="OPP-10103"/>
    <s v="ACC-1015"/>
    <s v="Zinnia Apparel"/>
    <s v="Bruno Costa"/>
    <s v="Zinnia Apparel - DDM - Media - Managed Media (AOR) - 03/2026"/>
    <s v="Change Order/Upsell"/>
    <x v="2"/>
    <n v="65038.05"/>
    <s v="BRL"/>
    <n v="65038.05"/>
    <s v="BRL"/>
    <s v="DDM - Media - Managed Media (AOR)"/>
    <d v="2026-03-31T00:00:00"/>
    <d v="2026-01-22T00:00:00"/>
    <s v="Inbound - Current Client (DEPRECATED)"/>
    <s v="São Carlos, BR"/>
    <s v="14"/>
    <s v="3"/>
    <x v="0"/>
  </r>
  <r>
    <s v="OPP-10196"/>
    <s v="ACC-1015"/>
    <s v="Zinnia Apparel"/>
    <s v="Ana Silva"/>
    <s v="Zinnia Apparel - DDM - Media - Managed Media (AOR) - 04/2026"/>
    <s v="Change Order/Upsell"/>
    <x v="2"/>
    <n v="44271"/>
    <s v="BRL"/>
    <n v="44271"/>
    <s v="BRL"/>
    <s v="DDM - Media - Managed Media (AOR)"/>
    <d v="2026-03-31T00:00:00"/>
    <d v="2026-03-25T00:00:00"/>
    <s v="Inbound - Current Client (DEPRECATED)"/>
    <s v="São Carlos, BR"/>
    <s v="14"/>
    <s v="3"/>
    <x v="0"/>
  </r>
  <r>
    <s v="OPP-10216"/>
    <s v="ACC-1015"/>
    <s v="Zinnia Apparel"/>
    <s v="Bruno Costa"/>
    <s v="Zinnia Apparel - DDM - Media - Managed Media (AOR) - 06/2026"/>
    <s v="Flex/Renewal"/>
    <x v="3"/>
    <n v="8049213.7800000003"/>
    <s v="BRL"/>
    <n v="8049213.7800000003"/>
    <s v="BRL"/>
    <s v="DDM - Media - Managed Media (AOR)"/>
    <d v="2026-04-30T00:00:00"/>
    <d v="2026-03-31T00:00:00"/>
    <s v="Inbound - Current Client (DEPRECATED)"/>
    <s v="São Carlos, BR"/>
    <s v="5"/>
    <s v="12"/>
    <x v="0"/>
  </r>
  <r>
    <s v="OPP-10097"/>
    <s v="ACC-1014"/>
    <s v="Fern Agriculture"/>
    <s v="Lucas Almeida"/>
    <s v="Fern Agriculture - Media - GEO/AEO - 04/2026"/>
    <s v="Project - Not Competitive"/>
    <x v="0"/>
    <n v="1410000"/>
    <s v="BRL"/>
    <n v="241200"/>
    <s v="BRL"/>
    <s v="Media - GEO/AEO"/>
    <d v="2026-04-13T00:00:00"/>
    <d v="2026-01-16T00:00:00"/>
    <s v="Inbound - Website - Media.Monks (DEPRECATED)"/>
    <s v="Votorantim, BR"/>
    <s v="21"/>
    <s v="12"/>
    <x v="3"/>
  </r>
  <r>
    <s v="OPP-10177"/>
    <s v="ACC-1064"/>
    <s v="Arrow Construction"/>
    <s v="Daniel Moura"/>
    <s v="Arrow Construction - DDM - Media - Creative - 06/2026"/>
    <s v="Change Order/Upsell"/>
    <x v="5"/>
    <n v="0"/>
    <m/>
    <m/>
    <m/>
    <m/>
    <d v="2026-06-30T00:00:00"/>
    <d v="2026-12-03T00:00:00"/>
    <s v="Inbound - Current Client (DEPRECATED)"/>
    <s v="São Carlos, BR"/>
    <s v="33"/>
    <m/>
    <x v="0"/>
  </r>
  <r>
    <s v="OPP-10230"/>
    <s v="ACC-1062"/>
    <s v="Cedar Foods"/>
    <s v="Sofia Guimaraes"/>
    <s v="Cedar Foods -  - 06/2026"/>
    <s v="Change Order/Upsell"/>
    <x v="5"/>
    <n v="0"/>
    <m/>
    <m/>
    <m/>
    <m/>
    <d v="2026-06-30T00:00:00"/>
    <d v="2026-08-04T00:00:00"/>
    <s v="Website - Sales Form"/>
    <s v="Votorantim, BR"/>
    <s v="6"/>
    <s v="12"/>
    <x v="1"/>
  </r>
  <r>
    <s v="OPP-10141"/>
    <s v="ACC-1114"/>
    <s v="Company 113"/>
    <s v="Wanda Borges"/>
    <s v="Company 113 - DDM - Media - Managed Media (AOR) - 04/2026"/>
    <s v="Project - Competitive"/>
    <x v="5"/>
    <n v="0"/>
    <m/>
    <m/>
    <m/>
    <m/>
    <d v="2026-01-07T00:00:00"/>
    <d v="2026-02-18T00:00:00"/>
    <s v="Referral - S4 Company"/>
    <s v="São Paulo, BR"/>
    <s v="55"/>
    <m/>
    <x v="2"/>
  </r>
  <r>
    <s v="OPP-10206"/>
    <s v="ACC-1124"/>
    <s v="Company 123"/>
    <s v="Lucas Almeida"/>
    <s v="Company 123 -  - 05/2026"/>
    <m/>
    <x v="5"/>
    <n v="0"/>
    <m/>
    <m/>
    <m/>
    <m/>
    <d v="2026-06-05T00:00:00"/>
    <d v="2026-03-30T00:00:00"/>
    <s v="Referral - Internal"/>
    <s v="Votorantim, BR"/>
    <s v="15"/>
    <m/>
    <x v="2"/>
  </r>
  <r>
    <s v="OPP-10210"/>
    <s v="ACC-1125"/>
    <s v="Company 124"/>
    <s v="Nicolas Teixeira"/>
    <s v="Company 124 -  - 05/2026"/>
    <s v="Project - Not Competitive"/>
    <x v="5"/>
    <n v="0"/>
    <m/>
    <m/>
    <m/>
    <m/>
    <d v="2026-05-29T00:00:00"/>
    <d v="2026-03-30T00:00:00"/>
    <s v="Referral - Partner - Google Marketing Platform"/>
    <s v="São Paulo, BR"/>
    <s v="15"/>
    <s v="12"/>
    <x v="2"/>
  </r>
  <r>
    <s v="OPP-10248"/>
    <s v="ACC-1127"/>
    <s v="Company 126"/>
    <s v="Nicolas Teixeira"/>
    <s v="Company 126 -  - 05/2026"/>
    <s v="Project - Competitive"/>
    <x v="5"/>
    <n v="0"/>
    <m/>
    <m/>
    <m/>
    <m/>
    <d v="2026-10-05T00:00:00"/>
    <d v="2026-10-04T00:00:00"/>
    <s v="Referral - Internal"/>
    <s v="São Paulo, BR"/>
    <s v="4"/>
    <m/>
    <x v="2"/>
  </r>
  <r>
    <s v="OPP-10257"/>
    <s v="ACC-1129"/>
    <s v="Company 128"/>
    <s v="Joao Pereira"/>
    <s v="Company 128 -  - 06/2026"/>
    <s v="Project - Competitive"/>
    <x v="5"/>
    <n v="0"/>
    <m/>
    <m/>
    <m/>
    <m/>
    <d v="2026-08-06T00:00:00"/>
    <d v="2026-04-13T00:00:00"/>
    <s v="Referral - Personal"/>
    <s v="Votorantim, BR"/>
    <s v="1"/>
    <m/>
    <x v="2"/>
  </r>
  <r>
    <s v="OPP-10258"/>
    <s v="ACC-1130"/>
    <s v="Company 129"/>
    <s v="Joao Pereira"/>
    <s v="Company 129 -  - 05/2026"/>
    <s v="Project - Competitive"/>
    <x v="5"/>
    <n v="0"/>
    <m/>
    <m/>
    <m/>
    <m/>
    <d v="2026-05-13T00:00:00"/>
    <d v="2026-04-13T00:00:00"/>
    <s v="Referral - Personal"/>
    <s v="Votorantim, BR"/>
    <s v="1"/>
    <m/>
    <x v="2"/>
  </r>
  <r>
    <s v="OPP-10222"/>
    <s v="ACC-1067"/>
    <s v="Echo Insurance"/>
    <s v="Sofia Guimaraes"/>
    <s v="Echo Insurance -  - 06/2026"/>
    <s v="Change Order/Upsell"/>
    <x v="5"/>
    <n v="0"/>
    <m/>
    <m/>
    <m/>
    <m/>
    <d v="2026-06-30T00:00:00"/>
    <d v="2026-02-04T00:00:00"/>
    <s v="Inbound - Current Client (DEPRECATED)"/>
    <s v="São Paulo, BR"/>
    <s v="12"/>
    <m/>
    <x v="0"/>
  </r>
  <r>
    <s v="OPP-10211"/>
    <s v="ACC-1001"/>
    <s v="Eucalyptus Fintech"/>
    <s v="Nicolas Teixeira"/>
    <s v="Eucalyptus Fintech -  - 04/2026"/>
    <s v="Project - Not Competitive"/>
    <x v="5"/>
    <n v="0"/>
    <m/>
    <m/>
    <m/>
    <m/>
    <d v="2026-04-29T00:00:00"/>
    <d v="2026-03-30T00:00:00"/>
    <s v="Referral - Internal"/>
    <s v="São Paulo, BR"/>
    <s v="15"/>
    <m/>
    <x v="2"/>
  </r>
  <r>
    <s v="OPP-10238"/>
    <s v="ACC-1090"/>
    <s v="Filbert Sports"/>
    <s v="Bruno Costa"/>
    <s v="Filbert Sports -  - 07/2026"/>
    <s v="Change Order/Upsell"/>
    <x v="5"/>
    <n v="0"/>
    <m/>
    <m/>
    <m/>
    <m/>
    <d v="2026-07-31T00:00:00"/>
    <d v="2026-09-04T00:00:00"/>
    <s v="Existing Client - Account/Growth Activity"/>
    <s v="Votorantim, BR"/>
    <s v="5"/>
    <m/>
    <x v="0"/>
  </r>
  <r>
    <s v="OPP-10247"/>
    <s v="ACC-1073"/>
    <s v="Lotus Beverages"/>
    <s v="Nicolas Teixeira"/>
    <s v="Lotus Beverages -  - 05/2026"/>
    <s v="Project - Not Competitive"/>
    <x v="5"/>
    <n v="0"/>
    <m/>
    <m/>
    <m/>
    <m/>
    <d v="2026-10-05T00:00:00"/>
    <d v="2026-10-04T00:00:00"/>
    <s v="Referral - S4 Company"/>
    <s v="São Carlos, BR"/>
    <s v="4"/>
    <m/>
    <x v="2"/>
  </r>
  <r>
    <s v="OPP-10215"/>
    <s v="ACC-1077"/>
    <s v="Mesa Electronics"/>
    <s v="Vinicius Cardoso"/>
    <s v="Mesa Electronics -  - 03/2026"/>
    <m/>
    <x v="5"/>
    <n v="0"/>
    <m/>
    <m/>
    <m/>
    <m/>
    <d v="2026-03-31T00:00:00"/>
    <d v="2026-03-31T00:00:00"/>
    <s v="Inbound - Website - Media.Monks (DEPRECATED)"/>
    <s v="São Paulo, BR"/>
    <s v="14"/>
    <m/>
    <x v="3"/>
  </r>
  <r>
    <s v="OPP-10253"/>
    <s v="ACC-1087"/>
    <s v="Mulberry Electronics"/>
    <s v="Felipe Lima"/>
    <s v="Mulberry Electronics -  - 05/2026"/>
    <s v="Project - Competitive"/>
    <x v="5"/>
    <n v="0"/>
    <m/>
    <m/>
    <m/>
    <m/>
    <d v="2026-05-13T00:00:00"/>
    <d v="2026-04-13T00:00:00"/>
    <s v="Referral - Internal"/>
    <s v="São Paulo, BR"/>
    <s v="1"/>
    <s v="12"/>
    <x v="2"/>
  </r>
  <r>
    <s v="OPP-10115"/>
    <s v="ACC-1031"/>
    <s v="Nova Studios"/>
    <s v="Queila Ribeiro"/>
    <s v="Nova Studios - DDM - Media - Managed Media (AOR) - 05/2026"/>
    <s v="Change Order/Upsell"/>
    <x v="6"/>
    <n v="0"/>
    <m/>
    <m/>
    <m/>
    <m/>
    <d v="2026-05-31T00:00:00"/>
    <d v="2026-02-02T00:00:00"/>
    <s v="Inbound - Current Client (DEPRECATED)"/>
    <s v="São Carlos, BR"/>
    <s v="71"/>
    <m/>
    <x v="0"/>
  </r>
  <r>
    <s v="OPP-10156"/>
    <s v="ACC-1031"/>
    <s v="Nova Studios"/>
    <s v="Queila Ribeiro"/>
    <s v="Nova Studios -  - 05/2026"/>
    <s v="Change Order/Upsell"/>
    <x v="5"/>
    <n v="0"/>
    <m/>
    <m/>
    <m/>
    <m/>
    <d v="2026-05-31T00:00:00"/>
    <d v="2026-02-03T00:00:00"/>
    <s v="Inbound - Current Client (DEPRECATED)"/>
    <s v="São Carlos, BR"/>
    <s v="43"/>
    <m/>
    <x v="0"/>
  </r>
  <r>
    <s v="OPP-10252"/>
    <s v="ACC-1013"/>
    <s v="Patchouli Energy"/>
    <s v="Joao Pereira"/>
    <s v="Patchouli Energy -  - 07/2026"/>
    <m/>
    <x v="5"/>
    <n v="0"/>
    <m/>
    <m/>
    <m/>
    <m/>
    <d v="2026-01-07T00:00:00"/>
    <d v="2026-10-04T00:00:00"/>
    <s v="Referral - Personal"/>
    <s v="São Carlos, BR"/>
    <s v="4"/>
    <m/>
    <x v="2"/>
  </r>
  <r>
    <s v="OPP-10013"/>
    <s v="ACC-1040"/>
    <s v="Quartz Pharma"/>
    <s v="Sofia Guimaraes"/>
    <s v="Quartz Pharma - DDM - Media - Creative - 06/2026"/>
    <s v="Change Order/Upsell"/>
    <x v="5"/>
    <n v="0"/>
    <m/>
    <m/>
    <m/>
    <m/>
    <d v="2026-06-30T00:00:00"/>
    <d v="2025-12-09T00:00:00"/>
    <s v="Inbound - Current Client (DEPRECATED)"/>
    <s v="São Paulo, BR"/>
    <s v="180"/>
    <s v="12"/>
    <x v="0"/>
  </r>
  <r>
    <s v="OPP-10261"/>
    <s v="ACC-1027"/>
    <s v="Rosemary Auto"/>
    <s v="Daniel Moura"/>
    <s v="Rosemary Auto -  - 07/2026"/>
    <s v="Change Order/Upsell"/>
    <x v="5"/>
    <n v="0"/>
    <m/>
    <m/>
    <m/>
    <m/>
    <d v="2026-07-31T00:00:00"/>
    <d v="2026-04-14T00:00:00"/>
    <s v="MH Lead (DEPRECATED)"/>
    <s v="São Carlos, BR"/>
    <s v="0"/>
    <m/>
    <x v="1"/>
  </r>
  <r>
    <s v="OPP-10246"/>
    <s v="ACC-1063"/>
    <s v="Saffron Fashion"/>
    <s v="Ana Silva"/>
    <s v="Saffron Fashion -  - 06/2026"/>
    <s v="Change Order/Upsell"/>
    <x v="5"/>
    <n v="0"/>
    <m/>
    <m/>
    <m/>
    <m/>
    <d v="2026-06-30T00:00:00"/>
    <d v="2026-10-04T00:00:00"/>
    <s v="MH Lead (DEPRECATED)"/>
    <s v="São Carlos, BR"/>
    <s v="4"/>
    <m/>
    <x v="1"/>
  </r>
  <r>
    <s v="OPP-10122"/>
    <s v="ACC-1089"/>
    <s v="Sage Streaming"/>
    <s v="Karina Oliveira"/>
    <s v="Sage Streaming - DDM - Media - Managed Media (AOR) - 05/2026"/>
    <s v="Change Order/Upsell"/>
    <x v="6"/>
    <n v="0"/>
    <m/>
    <m/>
    <m/>
    <m/>
    <d v="2026-01-05T00:00:00"/>
    <d v="2026-05-02T00:00:00"/>
    <s v="Inbound - Current Client (DEPRECATED)"/>
    <s v="São Carlos, BR"/>
    <s v="68"/>
    <s v="12"/>
    <x v="0"/>
  </r>
  <r>
    <s v="OPP-10224"/>
    <s v="ACC-1091"/>
    <s v="Wren Chemicals"/>
    <s v="Karina Oliveira"/>
    <s v="Wren Chemicals -  - 05/2026"/>
    <s v="Change Order/Upsell"/>
    <x v="5"/>
    <n v="0"/>
    <m/>
    <m/>
    <m/>
    <m/>
    <d v="2026-05-29T00:00:00"/>
    <d v="2026-02-04T00:00:00"/>
    <s v="MH Lead (DEPRECATED)"/>
    <s v="São Carlos, BR"/>
    <s v="12"/>
    <s v="12"/>
    <x v="1"/>
  </r>
  <r>
    <s v="OPP-10200"/>
    <s v="ACC-1029"/>
    <s v="Zephyr Telecom"/>
    <s v="Ana Silva"/>
    <s v="Zephyr Telecom - DDM - Media - Managed Media (AOR) - 06/2026"/>
    <s v="Change Order/Upsell"/>
    <x v="5"/>
    <n v="0"/>
    <m/>
    <m/>
    <m/>
    <m/>
    <d v="2026-06-30T00:00:00"/>
    <d v="2026-03-26T00:00:00"/>
    <s v="Inbound - Current Client (DEPRECATED)"/>
    <s v="São Carlos, BR"/>
    <s v="19"/>
    <s v="12"/>
    <x v="0"/>
  </r>
  <r>
    <s v="OPP-10201"/>
    <s v="ACC-1029"/>
    <s v="Zephyr Telecom"/>
    <s v="Ana Silva"/>
    <s v="Zephyr Telecom - Content - Social - Project - 07/2026"/>
    <s v="Change Order/Upsell"/>
    <x v="5"/>
    <n v="0"/>
    <m/>
    <m/>
    <m/>
    <m/>
    <d v="2026-06-30T00:00:00"/>
    <d v="2026-03-26T00:00:00"/>
    <s v="Inbound - Current Client (DEPRECATED)"/>
    <s v="São Carlos, BR"/>
    <s v="19"/>
    <m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413">
  <r>
    <s v="OPP-10150"/>
    <s v="ACC-1037"/>
    <x v="0"/>
    <s v="Bruno Costa"/>
    <s v="Acacia Telecom - DDM - Media - Managed Media (AOR) - 04/2026"/>
    <s v="Change Order/Upsell"/>
    <x v="0"/>
    <n v="601599.48"/>
    <s v="BRL"/>
    <n v="95637.84"/>
    <s v="BRL"/>
    <s v="Content - Platform - Performance, SEO, CRM &amp; Loyalty"/>
    <d v="2026-04-30T00:00:00"/>
    <d v="2026-02-26T00:00:00"/>
    <s v="Inbound - Current Client (DEPRECATED)"/>
    <s v="São Carlos, BR"/>
    <s v="42"/>
    <s v="12"/>
    <s v="Customer Success"/>
    <s v="Upsell"/>
    <s v="04/2026"/>
    <s v=""/>
  </r>
  <r>
    <s v="OPP-10134"/>
    <s v="ACC-1064"/>
    <x v="1"/>
    <s v="Daniel Moura"/>
    <s v="Arrow Construction - DDM - Media - Managed Media (AOR) - 05/2026"/>
    <s v="Change Order/Upsell"/>
    <x v="1"/>
    <n v="1429074.08"/>
    <s v="BRL"/>
    <n v="510758.40000000002"/>
    <s v="BRL"/>
    <s v="Content - Platform - Performance, SEO, CRM &amp; Loyalty"/>
    <d v="2026-05-29T00:00:00"/>
    <d v="2026-02-13T00:00:00"/>
    <s v="Inbound - Current Client (DEPRECATED)"/>
    <s v="São Carlos, BR"/>
    <s v="33"/>
    <s v="12"/>
    <s v="Customer Success"/>
    <s v="Upsell"/>
    <s v="05/2026"/>
    <s v=""/>
  </r>
  <r>
    <s v="OPP-10123"/>
    <s v="ACC-1101"/>
    <x v="2"/>
    <s v="Xavier Correia"/>
    <s v="Basil Sports - Content - Platform - Performance, SEO, CRM &amp; Loyalty - 03/2026"/>
    <s v="Project - Not Competitive"/>
    <x v="2"/>
    <n v="50514.15"/>
    <s v="BRL"/>
    <n v="50514.15"/>
    <s v="BRL"/>
    <s v="Content - Platform - Performance, SEO, CRM &amp; Loyalty"/>
    <d v="2026-03-26T00:00:00"/>
    <d v="2026-06-02T00:00:00"/>
    <s v="Don't Know/Other (DEPRECATED)"/>
    <s v="São Carlos, BR"/>
    <s v="19"/>
    <s v="1,5"/>
    <s v="Unknown"/>
    <s v="New Business"/>
    <s v="03/2026"/>
    <s v=""/>
  </r>
  <r>
    <s v="OPP-10110"/>
    <s v="ACC-1062"/>
    <x v="3"/>
    <s v="Daniel Moura"/>
    <s v="Cedar Foods - Content - Platform - Performance, SEO, CRM &amp; Loyalty - 06/2026"/>
    <s v="Change Order/Upsell"/>
    <x v="1"/>
    <n v="4565828.57"/>
    <s v="BRL"/>
    <n v="443593.21"/>
    <s v="BRL"/>
    <s v="Content - Platform - Performance, SEO, CRM &amp; Loyalty"/>
    <d v="2026-06-30T00:00:00"/>
    <d v="2026-01-26T00:00:00"/>
    <s v="Inbound - Current Client (DEPRECATED)"/>
    <s v="Votorantim, BR"/>
    <s v="33"/>
    <s v="12"/>
    <s v="Customer Success"/>
    <s v="Upsell"/>
    <s v="06/2026"/>
    <s v=""/>
  </r>
  <r>
    <s v="OPP-10110"/>
    <s v="ACC-1062"/>
    <x v="3"/>
    <s v="Daniel Moura"/>
    <s v="Cedar Foods - Content - Platform - Performance, SEO, CRM &amp; Loyalty - 06/2026"/>
    <s v="Change Order/Upsell"/>
    <x v="1"/>
    <n v="4565828.57"/>
    <s v="BRL"/>
    <n v="328515"/>
    <s v="BRL"/>
    <s v="Content - Platform - Performance, SEO, CRM &amp; Loyalty"/>
    <d v="2026-06-30T00:00:00"/>
    <d v="2026-01-26T00:00:00"/>
    <s v="Inbound - Current Client (DEPRECATED)"/>
    <s v="Votorantim, BR"/>
    <s v="33"/>
    <s v="12"/>
    <s v="Customer Success"/>
    <s v="Upsell"/>
    <s v="06/2026"/>
    <s v=""/>
  </r>
  <r>
    <s v="OPP-10099"/>
    <s v="ACC-1112"/>
    <x v="4"/>
    <s v="Xavier Correia"/>
    <s v="Company 111 - Content - Platform - Performance, SEO, CRM &amp; Loyalty - 02/2026"/>
    <s v="Project - Competitive"/>
    <x v="2"/>
    <n v="4293965.2399999993"/>
    <s v="BRL"/>
    <n v="526427.28"/>
    <s v="BRL"/>
    <s v="Content - Platform - Performance, SEO, CRM &amp; Loyalty"/>
    <d v="2026-02-27T00:00:00"/>
    <d v="2026-01-20T00:00:00"/>
    <s v="Referral - S4 Company"/>
    <s v="São Carlos, BR"/>
    <s v="46"/>
    <s v="12"/>
    <s v="Referral"/>
    <s v="New Business"/>
    <s v="02/2026"/>
    <n v="38"/>
  </r>
  <r>
    <s v="OPP-10242"/>
    <s v="ACC-1115"/>
    <x v="5"/>
    <s v="Xavier Correia"/>
    <s v="Company 114 - Content - Platform - Performance, SEO, CRM &amp; Loyalty - 06/2026"/>
    <s v="Project - Competitive"/>
    <x v="1"/>
    <n v="877063.2"/>
    <s v="BRL"/>
    <n v="460392"/>
    <s v="BRL"/>
    <s v="Content - Platform - Performance, SEO, CRM &amp; Loyalty"/>
    <d v="2026-06-30T00:00:00"/>
    <d v="2026-10-04T00:00:00"/>
    <s v="MH Lead (DEPRECATED)"/>
    <s v="Votorantim, BR"/>
    <s v="4"/>
    <s v="12"/>
    <s v="Unknown"/>
    <s v="New Business"/>
    <s v="06/2026"/>
    <s v=""/>
  </r>
  <r>
    <s v="OPP-10154"/>
    <s v="ACC-1119"/>
    <x v="6"/>
    <s v="Wanda Borges"/>
    <s v="Company 118 - Content - Platform - Performance, SEO, CRM &amp; Loyalty - 05/2026"/>
    <s v="Project - Competitive"/>
    <x v="1"/>
    <n v="2344909.7999999998"/>
    <s v="BRL"/>
    <n v="853158.72"/>
    <s v="BRL"/>
    <s v="Content - Platform - Performance, SEO, CRM &amp; Loyalty"/>
    <d v="2026-05-29T00:00:00"/>
    <d v="2026-02-27T00:00:00"/>
    <s v="Inbound - Website - Media.Monks (DEPRECATED)"/>
    <s v="Votorantim, BR"/>
    <s v="15"/>
    <s v="12"/>
    <s v="Inbound"/>
    <s v="New Business"/>
    <s v="05/2026"/>
    <s v=""/>
  </r>
  <r>
    <s v="OPP-10154"/>
    <s v="ACC-1119"/>
    <x v="6"/>
    <s v="Wanda Borges"/>
    <s v="Company 118 - Content - Platform - Performance, SEO, CRM &amp; Loyalty - 05/2026"/>
    <s v="Project - Competitive"/>
    <x v="1"/>
    <n v="2344909.7999999998"/>
    <s v="BRL"/>
    <n v="211859.76"/>
    <s v="BRL"/>
    <s v="Content - Platform - Performance, SEO, CRM &amp; Loyalty"/>
    <d v="2026-05-29T00:00:00"/>
    <d v="2026-02-27T00:00:00"/>
    <s v="Inbound - Website - Media.Monks (DEPRECATED)"/>
    <s v="Votorantim, BR"/>
    <s v="15"/>
    <s v="12"/>
    <s v="Inbound"/>
    <s v="New Business"/>
    <s v="05/2026"/>
    <s v=""/>
  </r>
  <r>
    <s v="OPP-10071"/>
    <s v="ACC-1050"/>
    <x v="7"/>
    <s v="Queila Ribeiro"/>
    <s v="Dune Ecommerce - Content - Platform - Performance, SEO, CRM &amp; Loyalty - 03/2026"/>
    <s v="Change Order/Upsell"/>
    <x v="2"/>
    <n v="1818447"/>
    <s v="BRL"/>
    <n v="270000"/>
    <s v="BRL"/>
    <s v="Content - Platform - Performance, SEO, CRM &amp; Loyalty"/>
    <d v="2026-03-24T00:00:00"/>
    <d v="2025-12-15T00:00:00"/>
    <s v="Inbound - Current Client (DEPRECATED)"/>
    <s v="São Carlos, BR"/>
    <s v="21"/>
    <s v="8"/>
    <s v="Customer Success"/>
    <s v="Upsell"/>
    <s v="03/2026"/>
    <n v="99"/>
  </r>
  <r>
    <s v="OPP-10149"/>
    <s v="ACC-1050"/>
    <x v="7"/>
    <s v="Queila Ribeiro"/>
    <s v="Dune Ecommerce - Content - Platform - Website Creation &amp; Production - 03/2026"/>
    <s v="Change Order/Upsell"/>
    <x v="0"/>
    <n v="646888.19999999995"/>
    <s v="BRL"/>
    <n v="646888.19999999995"/>
    <s v="BRL"/>
    <s v="Content - Platform - Performance, SEO, CRM &amp; Loyalty"/>
    <d v="2026-04-30T00:00:00"/>
    <d v="2026-02-23T00:00:00"/>
    <s v="Inbound - Current Client (DEPRECATED)"/>
    <s v="São Carlos, BR"/>
    <s v="8"/>
    <s v="12"/>
    <s v="Customer Success"/>
    <s v="Upsell"/>
    <s v="04/2026"/>
    <s v=""/>
  </r>
  <r>
    <s v="OPP-10183"/>
    <s v="ACC-1050"/>
    <x v="7"/>
    <s v="Queila Ribeiro"/>
    <s v="Dune Ecommerce - Content - Platform - Performance, SEO, CRM &amp; Loyalty - 04/2026"/>
    <s v="Change Order/Upsell"/>
    <x v="3"/>
    <n v="296000"/>
    <s v="BRL"/>
    <n v="166000"/>
    <s v="BRL"/>
    <s v="Content - Platform - Performance, SEO, CRM &amp; Loyalty"/>
    <d v="2026-05-31T00:00:00"/>
    <d v="2026-03-14T00:00:00"/>
    <s v="Inbound - Current Client (DEPRECATED)"/>
    <s v="São Carlos, BR"/>
    <s v="13"/>
    <s v="6"/>
    <s v="Customer Success"/>
    <s v="Upsell"/>
    <s v="05/2026"/>
    <s v=""/>
  </r>
  <r>
    <s v="OPP-10148"/>
    <s v="ACC-1050"/>
    <x v="7"/>
    <s v="Queila Ribeiro"/>
    <s v="Dune Ecommerce - Content - Platform - Website Creation &amp; Production - 05/2026"/>
    <s v="Flex/Renewal"/>
    <x v="0"/>
    <n v="2281464.96"/>
    <s v="BRL"/>
    <n v="2281464.96"/>
    <s v="BRL"/>
    <s v="Content - Platform - Performance, SEO, CRM &amp; Loyalty"/>
    <d v="2026-04-30T00:00:00"/>
    <d v="2026-02-23T00:00:00"/>
    <s v="Inbound - Current Client (DEPRECATED)"/>
    <s v="São Carlos, BR"/>
    <s v="8"/>
    <s v="12"/>
    <s v="Customer Success"/>
    <s v="Upsell"/>
    <s v="04/2026"/>
    <s v=""/>
  </r>
  <r>
    <s v="OPP-10029"/>
    <s v="ACC-1022"/>
    <x v="8"/>
    <s v="Sofia Guimaraes"/>
    <s v="Ember Hospitality - Content - Platform - Performance, SEO, CRM &amp; Loyalty - 04/2026"/>
    <s v="Change Order/Upsell"/>
    <x v="2"/>
    <n v="1653085.7999999998"/>
    <s v="BRL"/>
    <n v="732711.84"/>
    <s v="BRL"/>
    <s v="Content - Platform - Performance, SEO, CRM &amp; Loyalty"/>
    <d v="2026-04-13T00:00:00"/>
    <d v="2025-10-24T00:00:00"/>
    <s v="Inbound - Current Client (DEPRECATED)"/>
    <s v="São Carlos, BR"/>
    <s v="1"/>
    <s v="10"/>
    <s v="Customer Success"/>
    <s v="Upsell"/>
    <s v="04/2026"/>
    <n v="171"/>
  </r>
  <r>
    <s v="OPP-10208"/>
    <s v="ACC-1053"/>
    <x v="9"/>
    <s v="Bernardo Castro"/>
    <s v="Hemlock Insurance - DDM - Data - Services &amp; Tech - Services (Analytics &amp; Support) - 06/2026"/>
    <s v="Change Order/Upsell"/>
    <x v="1"/>
    <n v="492000"/>
    <s v="BRL"/>
    <n v="492000"/>
    <s v="BRL"/>
    <s v="Content - Platform - Performance, SEO, CRM &amp; Loyalty"/>
    <d v="2026-05-31T00:00:00"/>
    <d v="2026-03-30T00:00:00"/>
    <s v="Inbound - Current Client (DEPRECATED) "/>
    <s v="São Carlos, BR"/>
    <s v="5"/>
    <s v="12"/>
    <s v="Customer Success"/>
    <s v="Upsell"/>
    <s v="05/2026"/>
    <s v=""/>
  </r>
  <r>
    <s v="OPP-10106"/>
    <s v="ACC-1023"/>
    <x v="10"/>
    <s v="Amanda Rios"/>
    <s v="Iris Delivery - DDM - Data - Services &amp; Tech - Services (Analytics &amp; Support) - 04/2026"/>
    <s v="Change Order/Upsell"/>
    <x v="2"/>
    <n v="77204.399999999994"/>
    <s v="BRL"/>
    <n v="77204.399999999994"/>
    <s v="BRL"/>
    <s v="Content - Platform - Performance, SEO, CRM &amp; Loyalty"/>
    <d v="2026-05-03T00:00:00"/>
    <d v="2026-01-22T00:00:00"/>
    <s v="Inbound - Current Client (DEPRECATED)"/>
    <s v="Votorantim, BR"/>
    <s v="40"/>
    <s v="12"/>
    <s v="Customer Success"/>
    <s v="Upsell"/>
    <s v="05/2026"/>
    <n v="101"/>
  </r>
  <r>
    <s v="OPP-10050"/>
    <s v="ACC-1045"/>
    <x v="11"/>
    <s v="Felipe Lima"/>
    <s v="Jasper Security - Content - Platform - Performance, SEO, CRM &amp; Loyalty - 05/2026"/>
    <s v="Project - Competitive"/>
    <x v="3"/>
    <n v="6208423.2000000002"/>
    <s v="BRL"/>
    <n v="1026107.52"/>
    <s v="BRL"/>
    <s v="Content - Platform - Performance, SEO, CRM &amp; Loyalty"/>
    <d v="2026-05-13T00:00:00"/>
    <d v="2025-11-26T00:00:00"/>
    <s v="Referral - Internal"/>
    <s v="Votorantim, BR"/>
    <s v="64"/>
    <s v="12"/>
    <s v="Referral"/>
    <s v="New Business"/>
    <s v="05/2026"/>
    <s v=""/>
  </r>
  <r>
    <s v="OPP-10035"/>
    <s v="ACC-1010"/>
    <x v="12"/>
    <s v="Lucas Almeida"/>
    <s v="Juniper Data - Content - Platform - Performance, SEO, CRM &amp; Loyalty - 06/2026"/>
    <s v="Project - Competitive"/>
    <x v="3"/>
    <n v="286464"/>
    <s v="BRL"/>
    <n v="12000"/>
    <s v="BRL"/>
    <s v="Content - Platform - Performance, SEO, CRM &amp; Loyalty"/>
    <d v="2026-06-29T00:00:00"/>
    <d v="2025-03-11T00:00:00"/>
    <s v="Industry Event"/>
    <s v="São Carlos, BR"/>
    <s v="134"/>
    <s v="24"/>
    <s v="Event"/>
    <s v="New Business"/>
    <s v="06/2026"/>
    <s v=""/>
  </r>
  <r>
    <s v="OPP-10108"/>
    <s v="ACC-1099"/>
    <x v="13"/>
    <s v="Yasmin Nogueira"/>
    <s v="Kiwi Logistics - Content - Platform - Performance, SEO, CRM &amp; Loyalty - 05/2026"/>
    <s v="Project - Competitive"/>
    <x v="2"/>
    <n v="75753.77"/>
    <s v="BRL"/>
    <n v="75753.77"/>
    <s v="BRL"/>
    <s v="Content - Platform - Performance, SEO, CRM &amp; Loyalty"/>
    <d v="2026-03-31T00:00:00"/>
    <d v="2026-01-23T00:00:00"/>
    <s v="Referral - S4 Company"/>
    <s v="São Carlos, BR"/>
    <s v="14"/>
    <s v="3"/>
    <s v="Referral"/>
    <s v="New Business"/>
    <s v="03/2026"/>
    <n v="67"/>
  </r>
  <r>
    <s v="OPP-10019"/>
    <s v="ACC-1099"/>
    <x v="13"/>
    <s v="Xavier Correia"/>
    <s v="Kiwi Logistics - Content - Platform - Performance, SEO, CRM &amp; Loyalty - 03/2026"/>
    <s v="Project - Not Competitive"/>
    <x v="0"/>
    <n v="42721.49"/>
    <s v="BRL"/>
    <n v="42721.49"/>
    <s v="BRL"/>
    <s v="Content - Platform - Performance, SEO, CRM &amp; Loyalty"/>
    <d v="2026-11-05T00:00:00"/>
    <d v="2025-01-10T00:00:00"/>
    <s v="Referral - S4 Company"/>
    <s v="São Carlos, BR"/>
    <s v="175"/>
    <s v="2"/>
    <s v="Referral"/>
    <s v="New Business"/>
    <s v="11/2026"/>
    <s v=""/>
  </r>
  <r>
    <s v="OPP-10144"/>
    <s v="ACC-1041"/>
    <x v="14"/>
    <s v="Amanda Rios"/>
    <s v="Linden Foods - Content - Platform - Performance, SEO, CRM &amp; Loyalty - 05/2026"/>
    <s v="Flex/Renewal"/>
    <x v="3"/>
    <n v="1926466.8"/>
    <s v="BRL"/>
    <n v="464061.12"/>
    <s v="BRL"/>
    <s v="Content - Platform - Performance, SEO, CRM &amp; Loyalty"/>
    <d v="2026-05-31T00:00:00"/>
    <d v="2026-02-20T00:00:00"/>
    <s v="Inbound - Current Client (DEPRECATED)"/>
    <s v="São Carlos, BR"/>
    <s v="26"/>
    <s v="12"/>
    <s v="Customer Success"/>
    <s v="Upsell"/>
    <s v="05/2026"/>
    <s v=""/>
  </r>
  <r>
    <s v="OPP-10118"/>
    <s v="ACC-1066"/>
    <x v="15"/>
    <s v="Carla Mendes"/>
    <s v="Magnolia Retail - Content - Platform - Performance, SEO, CRM &amp; Loyalty - 05/2026"/>
    <s v="Change Order/Upsell"/>
    <x v="1"/>
    <n v="795900.24"/>
    <s v="BRL"/>
    <n v="45000"/>
    <s v="BRL"/>
    <s v="Content - Platform - Performance, SEO, CRM &amp; Loyalty"/>
    <d v="2026-05-31T00:00:00"/>
    <d v="2026-04-02T00:00:00"/>
    <s v="Inbound - Current Client (DEPRECATED)"/>
    <s v="São Carlos, BR"/>
    <s v="69"/>
    <s v="3"/>
    <s v="Customer Success"/>
    <s v="Upsell"/>
    <s v="05/2026"/>
    <s v=""/>
  </r>
  <r>
    <s v="OPP-10055"/>
    <s v="ACC-1084"/>
    <x v="16"/>
    <s v="Bruno Costa"/>
    <s v="Nigella Security - DDM - Media - Managed Media (AOR) - 05/2026"/>
    <s v="Change Order/Upsell"/>
    <x v="4"/>
    <n v="192000"/>
    <s v="BRL"/>
    <n v="192000"/>
    <s v="BRL"/>
    <s v="Content - Platform - Performance, SEO, CRM &amp; Loyalty"/>
    <d v="2026-05-31T00:00:00"/>
    <d v="2025-11-28T00:00:00"/>
    <s v="Inbound - Current Client (DEPRECATED)"/>
    <s v="São Carlos, BR"/>
    <s v="137"/>
    <s v="12"/>
    <s v="Customer Success"/>
    <s v="Upsell"/>
    <s v="05/2026"/>
    <s v=""/>
  </r>
  <r>
    <s v="OPP-10057"/>
    <s v="ACC-1031"/>
    <x v="17"/>
    <s v="Queila Ribeiro"/>
    <s v="Nova Studios - DDM - Data - Services &amp; Tech - Services (Analytics &amp; Support) - 03/2026"/>
    <s v="Change Order/Upsell"/>
    <x v="3"/>
    <n v="3015949.3200000003"/>
    <s v="BRL"/>
    <n v="1885842.96"/>
    <s v="BRL"/>
    <s v="Content - Platform - Performance, SEO, CRM &amp; Loyalty"/>
    <d v="2026-07-31T00:00:00"/>
    <d v="2025-01-12T00:00:00"/>
    <s v="Inbound - Current Client (DEPRECATED)"/>
    <s v="São Carlos, BR"/>
    <s v="134"/>
    <s v="12"/>
    <s v="Customer Success"/>
    <s v="Upsell"/>
    <s v="07/2026"/>
    <s v=""/>
  </r>
  <r>
    <s v="OPP-10012"/>
    <s v="ACC-1056"/>
    <x v="18"/>
    <s v="Carla Mendes"/>
    <s v="Orion Bank - Content - Platform - Performance, SEO, CRM &amp; Loyalty - 03/2026"/>
    <s v="Change Order/Upsell"/>
    <x v="2"/>
    <n v="222000"/>
    <s v="BRL"/>
    <n v="222000"/>
    <s v="BRL"/>
    <s v="Content - Platform - Performance, SEO, CRM &amp; Loyalty"/>
    <d v="2026-09-03T00:00:00"/>
    <d v="2025-09-09T00:00:00"/>
    <s v="Inbound - Current Client (DEPRECATED)"/>
    <s v="Votorantim, BR"/>
    <s v="36"/>
    <s v="8"/>
    <s v="Customer Success"/>
    <s v="Upsell"/>
    <s v="09/2026"/>
    <n v="359"/>
  </r>
  <r>
    <s v="OPP-10140"/>
    <s v="ACC-1071"/>
    <x v="19"/>
    <s v="Wanda Borges"/>
    <s v="Pomelo Ecommerce - Content - Platform - Performance, SEO, CRM &amp; Loyalty - 05/2026"/>
    <s v="Project - Not Competitive"/>
    <x v="4"/>
    <n v="149540.79"/>
    <s v="BRL"/>
    <n v="149540.79"/>
    <s v="BRL"/>
    <s v="Content - Platform - Performance, SEO, CRM &amp; Loyalty"/>
    <d v="2026-08-05T00:00:00"/>
    <d v="2026-02-18T00:00:00"/>
    <s v="Referral - S4 Company"/>
    <s v="São Carlos, BR"/>
    <s v="55"/>
    <s v="3"/>
    <s v="Referral"/>
    <s v="New Business"/>
    <s v="08/2026"/>
    <s v=""/>
  </r>
  <r>
    <s v="OPP-10024"/>
    <s v="ACC-1051"/>
    <x v="20"/>
    <s v="Karina Oliveira"/>
    <s v="Pyrite Fintech - Content - Platform - Performance, SEO, CRM &amp; Loyalty - 04/2026"/>
    <s v="Change Order/Upsell"/>
    <x v="0"/>
    <n v="593400"/>
    <s v="BRL"/>
    <n v="345148.56"/>
    <s v="BRL"/>
    <s v="Content - Platform - Performance, SEO, CRM &amp; Loyalty"/>
    <d v="2026-04-30T00:00:00"/>
    <d v="2025-10-10T00:00:00"/>
    <s v="Inbound - Current Client (DEPRECATED)"/>
    <s v="São Carlos, BR"/>
    <s v="127"/>
    <s v="12"/>
    <s v="Customer Success"/>
    <s v="Upsell"/>
    <s v="04/2026"/>
    <s v=""/>
  </r>
  <r>
    <s v="OPP-10169"/>
    <s v="ACC-1017"/>
    <x v="21"/>
    <s v="Pedro Martins"/>
    <s v="Quince Travel - Content - Platform - Performance, SEO, CRM &amp; Loyalty - 04/2026"/>
    <s v="Flex/Renewal"/>
    <x v="0"/>
    <n v="2510326.92"/>
    <s v="BRL"/>
    <n v="236040.72"/>
    <s v="BRL"/>
    <s v="Content - Platform - Performance, SEO, CRM &amp; Loyalty"/>
    <d v="2026-04-30T00:00:00"/>
    <d v="2026-06-03T00:00:00"/>
    <s v="Inbound - Current Client (DEPRECATED)"/>
    <s v="São Carlos, BR"/>
    <s v="39"/>
    <s v="12"/>
    <s v="Customer Success"/>
    <s v="Upsell"/>
    <s v="04/2026"/>
    <s v=""/>
  </r>
  <r>
    <s v="OPP-10169"/>
    <s v="ACC-1017"/>
    <x v="21"/>
    <s v="Pedro Martins"/>
    <s v="Quince Travel - Content - Platform - Performance, SEO, CRM &amp; Loyalty - 04/2026"/>
    <s v="Flex/Renewal"/>
    <x v="0"/>
    <n v="2510326.92"/>
    <s v="BRL"/>
    <n v="450126.12"/>
    <s v="BRL"/>
    <s v="Content - Platform - Performance, SEO, CRM &amp; Loyalty"/>
    <d v="2026-04-30T00:00:00"/>
    <d v="2026-06-03T00:00:00"/>
    <s v="Inbound - Current Client (DEPRECATED)"/>
    <s v="São Carlos, BR"/>
    <s v="39"/>
    <s v="12"/>
    <s v="Customer Success"/>
    <s v="Upsell"/>
    <s v="04/2026"/>
    <s v=""/>
  </r>
  <r>
    <s v="OPP-10030"/>
    <s v="ACC-1100"/>
    <x v="22"/>
    <s v="Felipe Lima"/>
    <s v="Ramson Gaming - Content - Platform - Performance, SEO, CRM &amp; Loyalty - 06/2026"/>
    <s v="Project - Not Competitive"/>
    <x v="1"/>
    <n v="645420"/>
    <s v="BRL"/>
    <n v="645420"/>
    <s v="BRL"/>
    <s v="Content - Platform - Performance, SEO, CRM &amp; Loyalty"/>
    <d v="2026-01-06T00:00:00"/>
    <d v="2025-10-27T00:00:00"/>
    <s v="Referral - Internal"/>
    <s v="São Carlos, BR"/>
    <s v="148"/>
    <s v="12"/>
    <s v="Referral"/>
    <s v="New Business"/>
    <s v="01/2026"/>
    <s v=""/>
  </r>
  <r>
    <s v="OPP-10186"/>
    <s v="ACC-1063"/>
    <x v="23"/>
    <s v="Ana Silva"/>
    <s v="Saffron Fashion - DDM - Data - Services &amp; Tech - Services (Analytics &amp; Support) - 01/2026"/>
    <s v="Change Order/Upsell"/>
    <x v="3"/>
    <n v="2316291.86"/>
    <s v="BRL"/>
    <n v="2316291.86"/>
    <s v="BRL"/>
    <s v="Content - Platform - Performance, SEO, CRM &amp; Loyalty"/>
    <d v="2026-05-31T00:00:00"/>
    <d v="2026-03-19T00:00:00"/>
    <s v="Inbound - Current Client (DEPRECATED)"/>
    <s v="São Carlos, BR"/>
    <s v="5"/>
    <s v="12"/>
    <s v="Customer Success"/>
    <s v="Upsell"/>
    <s v="05/2026"/>
    <s v=""/>
  </r>
  <r>
    <s v="OPP-10017"/>
    <s v="ACC-1063"/>
    <x v="23"/>
    <s v="Ana Silva"/>
    <s v="Saffron Fashion - DDM - Media - Creative - 01/2026"/>
    <s v="Change Order/Upsell"/>
    <x v="2"/>
    <n v="1157087.3999999999"/>
    <s v="BRL"/>
    <n v="926822.40000000002"/>
    <s v="BRL"/>
    <s v="Content - Platform - Performance, SEO, CRM &amp; Loyalty"/>
    <d v="2026-05-01T00:00:00"/>
    <d v="2025-09-25T00:00:00"/>
    <s v="Inbound - Current Client (DEPRECATED)"/>
    <s v="São Carlos, BR"/>
    <s v="99"/>
    <s v="12"/>
    <s v="Customer Success"/>
    <s v="Upsell"/>
    <s v="05/2026"/>
    <n v="218"/>
  </r>
  <r>
    <s v="OPP-10072"/>
    <s v="ACC-1063"/>
    <x v="23"/>
    <s v="Ana Silva"/>
    <s v="Saffron Fashion - DDM - Media - Managed Media (AOR) - 01/2026"/>
    <s v="Flex/Renewal"/>
    <x v="2"/>
    <n v="6770269.9100000001"/>
    <s v="BRL"/>
    <n v="455478.43"/>
    <s v="BRL"/>
    <s v="Content - Platform - Performance, SEO, CRM &amp; Loyalty"/>
    <d v="2026-01-27T00:00:00"/>
    <d v="2025-12-15T00:00:00"/>
    <s v="Inbound - Current Client (DEPRECATED)"/>
    <s v="São Carlos, BR"/>
    <s v="77"/>
    <s v="12"/>
    <s v="Customer Success"/>
    <s v="Upsell"/>
    <s v="01/2026"/>
    <n v="43"/>
  </r>
  <r>
    <s v="OPP-10089"/>
    <s v="ACC-1105"/>
    <x v="24"/>
    <s v="Felipe Lima"/>
    <s v="Velvet Cosmetics - Content - Platform - Performance, SEO, CRM &amp; Loyalty - 06/2026"/>
    <s v="Project - Not Competitive"/>
    <x v="1"/>
    <n v="520000"/>
    <s v="BRL"/>
    <n v="520000"/>
    <s v="BRL"/>
    <s v="Content - Platform - Performance, SEO, CRM &amp; Loyalty"/>
    <d v="2026-01-06T00:00:00"/>
    <d v="2026-12-01T00:00:00"/>
    <s v="Don't Know/Other (DEPRECATED)"/>
    <s v="São Carlos, BR"/>
    <s v="64"/>
    <s v="2"/>
    <s v="Unknown"/>
    <s v="New Business"/>
    <s v="01/2026"/>
    <s v=""/>
  </r>
  <r>
    <s v="OPP-10119"/>
    <s v="ACC-1021"/>
    <x v="25"/>
    <s v="Carla Mendes"/>
    <s v="Violet Agriculture - DDM - Media - Activation - Platforms Reselling - 03/2026"/>
    <s v="Change Order/Upsell"/>
    <x v="1"/>
    <n v="97858.559999999998"/>
    <s v="BRL"/>
    <n v="97858.559999999998"/>
    <s v="BRL"/>
    <s v="Content - Platform - Performance, SEO, CRM &amp; Loyalty"/>
    <d v="2026-05-31T00:00:00"/>
    <d v="2026-04-02T00:00:00"/>
    <s v="Inbound - Current Client (DEPRECATED)"/>
    <s v="São Carlos, BR"/>
    <s v="32"/>
    <s v="12"/>
    <s v="Customer Success"/>
    <s v="Upsell"/>
    <s v="05/2026"/>
    <s v=""/>
  </r>
  <r>
    <s v="OPP-10159"/>
    <s v="ACC-1111"/>
    <x v="26"/>
    <s v="Wanda Borges"/>
    <s v="Walnut Manufacturing - Content - Platform - Performance, SEO, CRM &amp; Loyalty - 05/2026"/>
    <s v="Project - Competitive"/>
    <x v="1"/>
    <n v="2133050.04"/>
    <s v="BRL"/>
    <n v="853158.72"/>
    <s v="BRL"/>
    <s v="Content - Platform - Performance, SEO, CRM &amp; Loyalty"/>
    <d v="2026-05-29T00:00:00"/>
    <d v="2026-03-03T00:00:00"/>
    <s v="Inbound - Website - Media.Monks (DEPRECATED)"/>
    <s v="Votorantim, BR"/>
    <s v="15"/>
    <s v="12"/>
    <s v="Inbound"/>
    <s v="New Business"/>
    <s v="05/2026"/>
    <s v=""/>
  </r>
  <r>
    <s v="OPP-10174"/>
    <s v="ACC-1006"/>
    <x v="27"/>
    <s v="Bruno Costa"/>
    <s v="Willow Beauty - DDM - Commerce - Content - 04/2026"/>
    <s v="Project - Not Competitive"/>
    <x v="4"/>
    <n v="88000"/>
    <s v="BRL"/>
    <n v="88000"/>
    <s v="BRL"/>
    <s v="Content - Platform - Performance, SEO, CRM &amp; Loyalty"/>
    <d v="2026-01-06T00:00:00"/>
    <d v="2026-11-03T00:00:00"/>
    <s v="Referral - S4 Company"/>
    <s v="São Carlos, BR"/>
    <s v="29"/>
    <s v="2"/>
    <s v="Referral"/>
    <s v="New Business"/>
    <s v="01/2026"/>
    <s v=""/>
  </r>
  <r>
    <s v="OPP-10171"/>
    <s v="ACC-1091"/>
    <x v="28"/>
    <s v="Karina Oliveira"/>
    <s v="Wren Chemicals - Content - Platform - Performance, SEO, CRM &amp; Loyalty - 06/2026"/>
    <s v="Flex/Renewal"/>
    <x v="0"/>
    <n v="1993383.1199999999"/>
    <s v="BRL"/>
    <n v="320220.59999999998"/>
    <s v="BRL"/>
    <s v="Content - Platform - Performance, SEO, CRM &amp; Loyalty"/>
    <d v="2026-02-06T00:00:00"/>
    <d v="2026-09-03T00:00:00"/>
    <s v="Inbound - Current Client (DEPRECATED)"/>
    <s v="São Carlos, BR"/>
    <s v="15"/>
    <s v="12"/>
    <s v="Customer Success"/>
    <s v="Upsell"/>
    <s v="02/2026"/>
    <s v=""/>
  </r>
  <r>
    <s v="OPP-10207"/>
    <s v="ACC-1043"/>
    <x v="29"/>
    <s v="Bernardo Castro"/>
    <s v="Xanadu Media - DDM - Commerce - Content - 06/2026"/>
    <s v="Change Order/Upsell"/>
    <x v="1"/>
    <n v="838800"/>
    <s v="BRL"/>
    <n v="248400"/>
    <s v="BRL"/>
    <s v="Content - Platform - Performance, SEO, CRM &amp; Loyalty"/>
    <d v="2026-06-30T00:00:00"/>
    <d v="2026-03-30T00:00:00"/>
    <s v="Prospecting - Current Client (DEPRECATED)"/>
    <s v="Votorantim, BR"/>
    <s v="5"/>
    <s v="12"/>
    <s v="Customer Success"/>
    <s v="Upsell"/>
    <s v="06/2026"/>
    <s v=""/>
  </r>
  <r>
    <s v="OPP-10241"/>
    <s v="ACC-1081"/>
    <x v="30"/>
    <s v="Amanda Rios"/>
    <s v="Yarrow Health - Content - Platform - Performance, SEO, CRM &amp; Loyalty - 06/2026"/>
    <s v="Flex/Renewal"/>
    <x v="4"/>
    <n v="695284.8"/>
    <s v="BRL"/>
    <n v="170638.2"/>
    <s v="BRL"/>
    <s v="Content - Platform - Performance, SEO, CRM &amp; Loyalty"/>
    <d v="2026-06-30T00:00:00"/>
    <d v="2026-10-04T00:00:00"/>
    <s v="Existing Client - Account/Growth Activity"/>
    <s v="São Carlos, BR"/>
    <s v="4"/>
    <s v="12"/>
    <s v="Customer Success"/>
    <s v="Upsell"/>
    <s v="06/2026"/>
    <s v=""/>
  </r>
  <r>
    <s v="OPP-10172"/>
    <s v="ACC-1085"/>
    <x v="31"/>
    <s v="Felipe Lima"/>
    <s v="Yumberry Mobile - Content - Platform - Performance, SEO, CRM &amp; Loyalty - 05/2026"/>
    <s v="Project - Competitive"/>
    <x v="3"/>
    <n v="835250.32000000007"/>
    <s v="BRL"/>
    <n v="150756"/>
    <s v="BRL"/>
    <s v="Content - Platform - Performance, SEO, CRM &amp; Loyalty"/>
    <d v="2026-05-13T00:00:00"/>
    <d v="2026-11-03T00:00:00"/>
    <s v="Referral - Internal"/>
    <s v="São Carlos, BR"/>
    <s v="25"/>
    <s v="12"/>
    <s v="Referral"/>
    <s v="New Business"/>
    <s v="05/2026"/>
    <s v=""/>
  </r>
  <r>
    <s v="OPP-10043"/>
    <s v="ACC-1029"/>
    <x v="32"/>
    <s v="Ana Silva"/>
    <s v="Zephyr Telecom - DDM - Data - Services &amp; Tech - Services (Analytics &amp; Support) - 03/2026"/>
    <s v="Flex/Renewal"/>
    <x v="2"/>
    <n v="4260383.32"/>
    <s v="BRL"/>
    <n v="964773.66"/>
    <s v="BRL"/>
    <s v="Content - Platform - Performance, SEO, CRM &amp; Loyalty"/>
    <d v="2026-09-03T00:00:00"/>
    <d v="2025-11-14T00:00:00"/>
    <s v="Inbound - Current Client (DEPRECATED)"/>
    <s v="São Carlos, BR"/>
    <s v="36"/>
    <s v="12"/>
    <s v="Customer Success"/>
    <s v="Upsell"/>
    <s v="09/2026"/>
    <n v="293"/>
  </r>
  <r>
    <s v="OPP-10045"/>
    <s v="ACC-1029"/>
    <x v="32"/>
    <s v="Ana Silva"/>
    <s v="Zephyr Telecom - Content - Social - Project - 02/2026"/>
    <s v="Flex/Renewal"/>
    <x v="2"/>
    <n v="3785206.2099999995"/>
    <s v="BRL"/>
    <n v="249048.07"/>
    <s v="BRL"/>
    <s v="Content - Platform - Performance, SEO, CRM &amp; Loyalty"/>
    <d v="2026-02-13T00:00:00"/>
    <d v="2025-11-14T00:00:00"/>
    <s v="Inbound - Current Client (DEPRECATED)"/>
    <s v="São Carlos, BR"/>
    <s v="60"/>
    <s v="12"/>
    <s v="Customer Success"/>
    <s v="Upsell"/>
    <s v="02/2026"/>
    <n v="91"/>
  </r>
  <r>
    <s v="OPP-10227"/>
    <s v="ACC-1029"/>
    <x v="32"/>
    <s v="Ana Silva"/>
    <s v="Zephyr Telecom - Content - Platform - Performance, SEO, CRM &amp; Loyalty - 02/2026"/>
    <s v="Change Order/Upsell"/>
    <x v="0"/>
    <n v="1555491.6"/>
    <s v="BRL"/>
    <n v="1555491.6"/>
    <s v="BRL"/>
    <s v="Content - Platform - Performance, SEO, CRM &amp; Loyalty"/>
    <d v="2026-06-30T00:00:00"/>
    <d v="2026-06-04T00:00:00"/>
    <s v="Existing Client - Account/Growth Activity"/>
    <s v="São Carlos, BR"/>
    <s v="1"/>
    <s v="12"/>
    <s v="Customer Success"/>
    <s v="Upsell"/>
    <s v="06/2026"/>
    <s v=""/>
  </r>
  <r>
    <s v="OPP-10094"/>
    <s v="ACC-1029"/>
    <x v="32"/>
    <s v="Ana Silva"/>
    <s v="Zephyr Telecom - DDM - Media - Managed Media (AOR) - 03/2026"/>
    <s v="Change Order/Upsell"/>
    <x v="2"/>
    <n v="297244.79999999999"/>
    <s v="BRL"/>
    <n v="297244.79999999999"/>
    <s v="BRL"/>
    <s v="Content - Platform - Performance, SEO, CRM &amp; Loyalty"/>
    <d v="2026-03-24T00:00:00"/>
    <d v="2026-01-15T00:00:00"/>
    <s v="Inbound - Current Client (DEPRECATED)"/>
    <s v="São Carlos, BR"/>
    <s v="21"/>
    <s v="12"/>
    <s v="Customer Success"/>
    <s v="Upsell"/>
    <s v="03/2026"/>
    <n v="68"/>
  </r>
  <r>
    <s v="OPP-10099"/>
    <s v="ACC-1112"/>
    <x v="4"/>
    <s v="Xavier Correia"/>
    <s v="Company 111 - Content - Platform - Service &amp; Maintenance - 02/2026"/>
    <s v="Project - Competitive"/>
    <x v="2"/>
    <n v="4293965.2399999993"/>
    <s v="BRL"/>
    <n v="375767.72"/>
    <s v="BRL"/>
    <s v="Content - Platform - Service &amp; Maintenance"/>
    <d v="2026-02-27T00:00:00"/>
    <d v="2026-01-20T00:00:00"/>
    <s v="Referral - S4 Company"/>
    <s v="São Carlos, BR"/>
    <s v="46"/>
    <s v="12"/>
    <s v="Referral"/>
    <s v="New Business"/>
    <s v="02/2026"/>
    <n v="38"/>
  </r>
  <r>
    <s v="OPP-10029"/>
    <s v="ACC-1022"/>
    <x v="8"/>
    <s v="Sofia Guimaraes"/>
    <s v="Ember Hospitality - Content - Platform - Service &amp; Maintenance - 04/2026"/>
    <s v="Change Order/Upsell"/>
    <x v="2"/>
    <n v="1653085.7999999998"/>
    <s v="BRL"/>
    <n v="561203.64"/>
    <s v="BRL"/>
    <s v="Content - Platform - Service &amp; Maintenance"/>
    <d v="2026-04-13T00:00:00"/>
    <d v="2025-10-24T00:00:00"/>
    <s v="Inbound - Current Client (DEPRECATED)"/>
    <s v="São Carlos, BR"/>
    <s v="1"/>
    <s v="10"/>
    <s v="Customer Success"/>
    <s v="Upsell"/>
    <s v="04/2026"/>
    <n v="171"/>
  </r>
  <r>
    <s v="OPP-10169"/>
    <s v="ACC-1017"/>
    <x v="21"/>
    <s v="Pedro Martins"/>
    <s v="Quince Travel - Content - Platform - Service &amp; Maintenance - 04/2026"/>
    <s v="Flex/Renewal"/>
    <x v="0"/>
    <n v="2510326.92"/>
    <s v="BRL"/>
    <n v="340710.12"/>
    <s v="BRL"/>
    <s v="Content - Platform - Service &amp; Maintenance"/>
    <d v="2026-04-30T00:00:00"/>
    <d v="2026-06-03T00:00:00"/>
    <s v="Inbound - Current Client (DEPRECATED)"/>
    <s v="São Carlos, BR"/>
    <s v="39"/>
    <s v="12"/>
    <s v="Customer Success"/>
    <s v="Upsell"/>
    <s v="04/2026"/>
    <s v=""/>
  </r>
  <r>
    <s v="OPP-10193"/>
    <s v="ACC-1122"/>
    <x v="33"/>
    <s v="Joao Pereira"/>
    <s v="Company 121 - DDM - Media - Managed Media (AOR) - 05/2026"/>
    <s v="Project - Competitive"/>
    <x v="1"/>
    <n v="260468.47999999998"/>
    <s v="BRL"/>
    <n v="128427.48"/>
    <s v="BRL"/>
    <s v="Content - Platform - Website Creation &amp; Production"/>
    <d v="2026-04-05T00:00:00"/>
    <d v="2026-03-23T00:00:00"/>
    <s v="Referral - Internal"/>
    <s v="São Carlos, BR"/>
    <s v="18"/>
    <s v="12"/>
    <s v="Referral"/>
    <s v="New Business"/>
    <s v="04/2026"/>
    <s v=""/>
  </r>
  <r>
    <s v="OPP-10193"/>
    <s v="ACC-1122"/>
    <x v="33"/>
    <s v="Joao Pereira"/>
    <s v="Company 121 - DDM - Data - Services &amp; Tech - Services (Analytics &amp; Support) - 05/2026"/>
    <s v="Project - Competitive"/>
    <x v="1"/>
    <n v="260468.47999999998"/>
    <s v="BRL"/>
    <n v="132041"/>
    <s v="BRL"/>
    <s v="Content - Platform - Website Creation &amp; Production"/>
    <d v="2026-04-05T00:00:00"/>
    <d v="2026-03-23T00:00:00"/>
    <s v="Referral - Internal"/>
    <s v="São Carlos, BR"/>
    <s v="18"/>
    <s v="12"/>
    <s v="Referral"/>
    <s v="New Business"/>
    <s v="04/2026"/>
    <s v=""/>
  </r>
  <r>
    <s v="OPP-10158"/>
    <s v="ACC-1098"/>
    <x v="34"/>
    <s v="Karina Oliveira"/>
    <s v="Delta Streaming - Content - Platform - Website Creation &amp; Production - 04/2026"/>
    <s v="Change Order/Upsell"/>
    <x v="1"/>
    <n v="322882"/>
    <s v="BRL"/>
    <n v="322882"/>
    <s v="BRL"/>
    <s v="Content - Platform - Website Creation &amp; Production"/>
    <d v="2026-04-27T00:00:00"/>
    <d v="2026-02-03T00:00:00"/>
    <s v="Inbound - Current Client (DEPRECATED)"/>
    <s v="São Carlos, BR"/>
    <s v="36"/>
    <s v="5"/>
    <s v="Customer Success"/>
    <s v="Upsell"/>
    <s v="04/2026"/>
    <s v=""/>
  </r>
  <r>
    <s v="OPP-10071"/>
    <s v="ACC-1050"/>
    <x v="7"/>
    <s v="Queila Ribeiro"/>
    <s v="Dune Ecommerce - Content - Platform - Website Creation &amp; Production - 03/2026"/>
    <s v="Change Order/Upsell"/>
    <x v="2"/>
    <n v="1818447"/>
    <s v="BRL"/>
    <n v="1472367.11"/>
    <s v="BRL"/>
    <s v="Content - Platform - Website Creation &amp; Production"/>
    <d v="2026-03-24T00:00:00"/>
    <d v="2025-12-15T00:00:00"/>
    <s v="Inbound - Current Client (DEPRECATED)"/>
    <s v="São Carlos, BR"/>
    <s v="21"/>
    <s v="8"/>
    <s v="Customer Success"/>
    <s v="Upsell"/>
    <s v="03/2026"/>
    <n v="99"/>
  </r>
  <r>
    <s v="OPP-10183"/>
    <s v="ACC-1050"/>
    <x v="7"/>
    <s v="Queila Ribeiro"/>
    <s v="Dune Ecommerce - Content - Platform - Performance, SEO, CRM &amp; Loyalty - 04/2026"/>
    <s v="Change Order/Upsell"/>
    <x v="3"/>
    <n v="296000"/>
    <s v="BRL"/>
    <n v="110000"/>
    <s v="BRL"/>
    <s v="Content - Platform - Website Creation &amp; Production"/>
    <d v="2026-05-31T00:00:00"/>
    <d v="2026-03-14T00:00:00"/>
    <s v="Inbound - Current Client (DEPRECATED)"/>
    <s v="São Carlos, BR"/>
    <s v="13"/>
    <s v="6"/>
    <s v="Customer Success"/>
    <s v="Upsell"/>
    <s v="05/2026"/>
    <s v=""/>
  </r>
  <r>
    <s v="OPP-10079"/>
    <s v="ACC-1050"/>
    <x v="7"/>
    <s v="Queila Ribeiro"/>
    <s v="Dune Ecommerce - Content - Platform - Performance, SEO, CRM &amp; Loyalty - 05/2026"/>
    <s v="Change Order/Upsell"/>
    <x v="2"/>
    <n v="108985.08"/>
    <s v="BRL"/>
    <n v="108985.08"/>
    <s v="BRL"/>
    <s v="Content - Platform - Website Creation &amp; Production"/>
    <d v="2026-03-24T00:00:00"/>
    <d v="2025-12-19T00:00:00"/>
    <s v="Inbound - Current Client (DEPRECATED)"/>
    <s v="São Carlos, BR"/>
    <s v="21"/>
    <s v="2"/>
    <s v="Customer Success"/>
    <s v="Upsell"/>
    <s v="03/2026"/>
    <n v="95"/>
  </r>
  <r>
    <s v="OPP-10157"/>
    <s v="ACC-1050"/>
    <x v="7"/>
    <s v="Queila Ribeiro"/>
    <s v="Dune Ecommerce - DDM - Data - Services &amp; Tech - Services (Analytics &amp; Support) - 05/2026"/>
    <s v="Change Order/Upsell"/>
    <x v="1"/>
    <n v="50000"/>
    <s v="BRL"/>
    <n v="50000"/>
    <s v="BRL"/>
    <s v="Content - Platform - Website Creation &amp; Production"/>
    <d v="2026-05-31T00:00:00"/>
    <d v="2026-02-03T00:00:00"/>
    <s v="Inbound - Current Client (DEPRECATED)"/>
    <s v="São Carlos, BR"/>
    <s v="31"/>
    <s v="1"/>
    <s v="Customer Success"/>
    <s v="Upsell"/>
    <s v="05/2026"/>
    <s v=""/>
  </r>
  <r>
    <s v="OPP-10067"/>
    <s v="ACC-1075"/>
    <x v="35"/>
    <s v="Bernardo Castro"/>
    <s v="Kestrel Logistics - Content - Platform - Website Creation &amp; Production - 02/2026"/>
    <s v="Flex/Renewal"/>
    <x v="2"/>
    <n v="940468.92"/>
    <s v="BRL"/>
    <n v="940468.92"/>
    <s v="BRL"/>
    <s v="Content - Platform - Website Creation &amp; Production"/>
    <d v="2026-02-13T00:00:00"/>
    <d v="2025-08-12T00:00:00"/>
    <s v="Inbound - Current Client (DEPRECATED)"/>
    <s v="São Carlos, BR"/>
    <s v="60"/>
    <s v="12"/>
    <s v="Customer Success"/>
    <s v="Upsell"/>
    <s v="02/2026"/>
    <n v="185"/>
  </r>
  <r>
    <s v="OPP-10240"/>
    <s v="ACC-1075"/>
    <x v="35"/>
    <s v="Bernardo Castro"/>
    <s v="Kestrel Logistics - Content - Platform - Website Creation &amp; Production - 04/2026"/>
    <s v="Change Order/Upsell"/>
    <x v="1"/>
    <n v="571781.5"/>
    <s v="BRL"/>
    <n v="571781.5"/>
    <s v="BRL"/>
    <s v="Content - Platform - Website Creation &amp; Production"/>
    <d v="2026-09-05T00:00:00"/>
    <d v="2026-09-04T00:00:00"/>
    <s v="Existing Client - Account/Growth Activity"/>
    <s v="São Carlos, BR"/>
    <s v="4"/>
    <s v="4"/>
    <s v="Customer Success"/>
    <s v="Upsell"/>
    <s v="09/2026"/>
    <s v=""/>
  </r>
  <r>
    <s v="OPP-10151"/>
    <s v="ACC-1075"/>
    <x v="35"/>
    <s v="Bernardo Castro"/>
    <s v="Kestrel Logistics - Content - Platform - Website Creation &amp; Production - 05/2026"/>
    <s v="Change Order/Upsell"/>
    <x v="0"/>
    <n v="420"/>
    <s v="BRL"/>
    <n v="420"/>
    <s v="BRL"/>
    <s v="Content - Platform - Website Creation &amp; Production"/>
    <d v="2026-04-30T00:00:00"/>
    <d v="2026-02-26T00:00:00"/>
    <s v="Inbound - Current Client (DEPRECATED)"/>
    <s v="São Carlos, BR"/>
    <s v="47"/>
    <s v="1"/>
    <s v="Customer Success"/>
    <s v="Upsell"/>
    <s v="04/2026"/>
    <s v=""/>
  </r>
  <r>
    <s v="OPP-10160"/>
    <s v="ACC-1065"/>
    <x v="36"/>
    <s v="Joao Pereira"/>
    <s v="Larkspur Foods - Content - Platform - Website Creation &amp; Production - 05/2026"/>
    <s v="Project - Competitive"/>
    <x v="1"/>
    <n v="265000"/>
    <s v="BRL"/>
    <n v="57000"/>
    <s v="BRL"/>
    <s v="Content - Platform - Website Creation &amp; Production"/>
    <d v="2026-04-05T00:00:00"/>
    <d v="2026-03-03T00:00:00"/>
    <s v="Referral - Personal"/>
    <s v="São Carlos, BR"/>
    <s v="19"/>
    <s v="12"/>
    <s v="Referral"/>
    <s v="New Business"/>
    <s v="04/2026"/>
    <s v=""/>
  </r>
  <r>
    <s v="OPP-10118"/>
    <s v="ACC-1066"/>
    <x v="15"/>
    <s v="Carla Mendes"/>
    <s v="Magnolia Retail - Content - Platform - Website Creation &amp; Production - 05/2026"/>
    <s v="Change Order/Upsell"/>
    <x v="1"/>
    <n v="795900.24"/>
    <s v="BRL"/>
    <n v="585047.43999999994"/>
    <s v="BRL"/>
    <s v="Content - Platform - Website Creation &amp; Production"/>
    <d v="2026-05-31T00:00:00"/>
    <d v="2026-04-02T00:00:00"/>
    <s v="Inbound - Current Client (DEPRECATED)"/>
    <s v="São Carlos, BR"/>
    <s v="69"/>
    <s v="3"/>
    <s v="Customer Success"/>
    <s v="Upsell"/>
    <s v="05/2026"/>
    <s v=""/>
  </r>
  <r>
    <s v="OPP-10007"/>
    <s v="ACC-1031"/>
    <x v="17"/>
    <s v="Queila Ribeiro"/>
    <s v="Nova Studios - DDM - Media - Creative - 02/2026"/>
    <s v="Change Order/Upsell"/>
    <x v="2"/>
    <n v="490928.88"/>
    <s v="BRL"/>
    <n v="490928.88"/>
    <s v="BRL"/>
    <s v="Content - Platform - Website Creation &amp; Production"/>
    <d v="2026-09-01T00:00:00"/>
    <d v="2025-08-21T00:00:00"/>
    <s v="Inbound - Current Client (DEPRECATED)"/>
    <s v="São Carlos, BR"/>
    <s v="95"/>
    <s v="12"/>
    <s v="Customer Success"/>
    <s v="Upsell"/>
    <s v="09/2026"/>
    <n v="376"/>
  </r>
  <r>
    <s v="OPP-10194"/>
    <s v="ACC-1083"/>
    <x v="37"/>
    <s v="Xavier Correia"/>
    <s v="Umber Design - Content - Platform - Website Creation &amp; Production - 05/2026"/>
    <s v="Project - Not Competitive"/>
    <x v="1"/>
    <n v="500000"/>
    <s v="BRL"/>
    <n v="500000"/>
    <s v="BRL"/>
    <s v="Content - Platform - Website Creation &amp; Production"/>
    <d v="2026-05-31T00:00:00"/>
    <d v="2026-03-23T00:00:00"/>
    <s v="Marketing - Lead Scoring/Nurturing"/>
    <s v="São Carlos, BR"/>
    <s v="13"/>
    <s v="12"/>
    <s v="Unknown"/>
    <s v="New Business"/>
    <s v="05/2026"/>
    <s v=""/>
  </r>
  <r>
    <s v="OPP-10171"/>
    <s v="ACC-1091"/>
    <x v="28"/>
    <s v="Karina Oliveira"/>
    <s v="Wren Chemicals - Content - Platform - Website Creation &amp; Production - 06/2026"/>
    <s v="Flex/Renewal"/>
    <x v="0"/>
    <n v="1993383.1199999999"/>
    <s v="BRL"/>
    <n v="401829.72"/>
    <s v="BRL"/>
    <s v="Content - Platform - Website Creation &amp; Production"/>
    <d v="2026-02-06T00:00:00"/>
    <d v="2026-09-03T00:00:00"/>
    <s v="Inbound - Current Client (DEPRECATED)"/>
    <s v="São Carlos, BR"/>
    <s v="15"/>
    <s v="12"/>
    <s v="Customer Success"/>
    <s v="Upsell"/>
    <s v="02/2026"/>
    <s v=""/>
  </r>
  <r>
    <s v="OPP-10207"/>
    <s v="ACC-1043"/>
    <x v="29"/>
    <s v="Bernardo Castro"/>
    <s v="Xanadu Media - Content - Platform - Performance, SEO, CRM &amp; Loyalty - 06/2026"/>
    <s v="Change Order/Upsell"/>
    <x v="1"/>
    <n v="838800"/>
    <s v="BRL"/>
    <n v="144000"/>
    <s v="BRL"/>
    <s v="Content - Platform - Website Creation &amp; Production"/>
    <d v="2026-06-30T00:00:00"/>
    <d v="2026-03-30T00:00:00"/>
    <s v="Prospecting - Current Client (DEPRECATED)"/>
    <s v="Votorantim, BR"/>
    <s v="5"/>
    <s v="12"/>
    <s v="Customer Success"/>
    <s v="Upsell"/>
    <s v="06/2026"/>
    <s v=""/>
  </r>
  <r>
    <s v="OPP-10096"/>
    <s v="ACC-1037"/>
    <x v="0"/>
    <s v="Bruno Costa"/>
    <s v="Acacia Telecom - Content - Platform - Performance, SEO, CRM &amp; Loyalty - 04/2026"/>
    <s v="Change Order/Upsell"/>
    <x v="2"/>
    <n v="30051.61"/>
    <s v="BRL"/>
    <n v="30051.61"/>
    <s v="BRL"/>
    <s v="Content - Social - AOR"/>
    <d v="2026-03-26T00:00:00"/>
    <d v="2026-01-15T00:00:00"/>
    <s v="Inbound - Current Client (DEPRECATED)"/>
    <s v="São Carlos, BR"/>
    <s v="19"/>
    <s v="1"/>
    <s v="Customer Success"/>
    <s v="Upsell"/>
    <s v="03/2026"/>
    <n v="70"/>
  </r>
  <r>
    <s v="OPP-10132"/>
    <s v="ACC-1078"/>
    <x v="38"/>
    <s v="Amanda Rios"/>
    <s v="Aurora Retail - Content - Social - AOR - 05/2026"/>
    <s v="Change Order/Upsell"/>
    <x v="1"/>
    <n v="800000"/>
    <s v="BRL"/>
    <n v="800000"/>
    <s v="BRL"/>
    <s v="Content - Social - AOR"/>
    <d v="2026-05-31T00:00:00"/>
    <d v="2026-12-02T00:00:00"/>
    <s v="Inbound - Current Client (DEPRECATED)"/>
    <s v="Votorantim, BR"/>
    <s v="12"/>
    <s v="12"/>
    <s v="Customer Success"/>
    <s v="Upsell"/>
    <s v="05/2026"/>
    <s v=""/>
  </r>
  <r>
    <s v="OPP-10027"/>
    <s v="ACC-1109"/>
    <x v="39"/>
    <s v="Lucas Almeida"/>
    <s v="Bluefin Logistics - Content - Social - AOR - 06/2026"/>
    <s v="Retainer"/>
    <x v="1"/>
    <n v="36000"/>
    <s v="BRL"/>
    <n v="12000"/>
    <s v="BRL"/>
    <s v="Content - Social - AOR"/>
    <d v="2026-06-29T00:00:00"/>
    <d v="2025-10-20T00:00:00"/>
    <s v="Inbound - Website - Media.Monks (DEPRECATED)"/>
    <s v="São Carlos, BR"/>
    <s v="76"/>
    <s v="12"/>
    <s v="Inbound"/>
    <s v="Upsell"/>
    <s v="06/2026"/>
    <s v=""/>
  </r>
  <r>
    <s v="OPP-10110"/>
    <s v="ACC-1062"/>
    <x v="3"/>
    <s v="Daniel Moura"/>
    <s v="Cedar Foods - Content - Social - AOR - 06/2026"/>
    <s v="Change Order/Upsell"/>
    <x v="1"/>
    <n v="4565828.57"/>
    <s v="BRL"/>
    <n v="578334.1"/>
    <s v="BRL"/>
    <s v="Content - Social - AOR"/>
    <d v="2026-06-30T00:00:00"/>
    <d v="2026-01-26T00:00:00"/>
    <s v="Inbound - Current Client (DEPRECATED)"/>
    <s v="Votorantim, BR"/>
    <s v="33"/>
    <s v="12"/>
    <s v="Customer Success"/>
    <s v="Upsell"/>
    <s v="06/2026"/>
    <s v=""/>
  </r>
  <r>
    <s v="OPP-10111"/>
    <s v="ACC-1107"/>
    <x v="40"/>
    <s v="Xavier Correia"/>
    <s v="Cobalt SaaS - Content - Social - AOR - 01/2026"/>
    <s v="Project - Not Competitive"/>
    <x v="2"/>
    <n v="90000"/>
    <s v="BRL"/>
    <n v="90000"/>
    <s v="BRL"/>
    <s v="Content - Social - AOR"/>
    <d v="2026-01-27T00:00:00"/>
    <d v="2026-01-26T00:00:00"/>
    <s v="Inbound - Current Client (DEPRECATED)"/>
    <s v="Votorantim, BR"/>
    <s v="77"/>
    <s v="6"/>
    <s v="Customer Success"/>
    <s v="New Business"/>
    <s v="01/2026"/>
    <n v="1"/>
  </r>
  <r>
    <s v="OPP-10255"/>
    <s v="ACC-1128"/>
    <x v="41"/>
    <s v="Felipe Lima"/>
    <s v="Company 127 - Content - Social - AOR - 05/2026"/>
    <s v="Project - Competitive"/>
    <x v="5"/>
    <n v="0"/>
    <s v="BRL"/>
    <n v="0"/>
    <s v="BRL"/>
    <s v="Content - Social - AOR"/>
    <d v="2026-05-13T00:00:00"/>
    <d v="2026-04-13T00:00:00"/>
    <s v="Referral - Internal"/>
    <s v="São Carlos, BR"/>
    <s v="1"/>
    <m/>
    <s v="Referral"/>
    <s v="New Business"/>
    <s v="05/2026"/>
    <s v=""/>
  </r>
  <r>
    <s v="OPP-10066"/>
    <s v="ACC-1049"/>
    <x v="42"/>
    <s v="Bernardo Castro"/>
    <s v="Hazel Construction - DDM - Media - Creative - 02/2026"/>
    <s v="Flex/Renewal"/>
    <x v="2"/>
    <n v="1546078.56"/>
    <s v="BRL"/>
    <n v="1229366.3999999999"/>
    <s v="BRL"/>
    <s v="Content - Social - AOR"/>
    <d v="2026-12-03T00:00:00"/>
    <d v="2025-08-12T00:00:00"/>
    <s v="Inbound - Current Client (DEPRECATED)"/>
    <s v="São Carlos, BR"/>
    <s v="33"/>
    <s v="12"/>
    <s v="Customer Success"/>
    <s v="Upsell"/>
    <s v="12/2026"/>
    <n v="478"/>
  </r>
  <r>
    <s v="OPP-10046"/>
    <s v="ACC-1049"/>
    <x v="42"/>
    <s v="Bernardo Castro"/>
    <s v="Hazel Construction - DDM - Media - Managed Media (AOR) - 02/2026"/>
    <s v="Change Order/Upsell"/>
    <x v="2"/>
    <n v="604944.24"/>
    <s v="BRL"/>
    <n v="307704.36"/>
    <s v="BRL"/>
    <s v="Content - Social - AOR"/>
    <d v="2026-02-25T00:00:00"/>
    <d v="2025-11-17T00:00:00"/>
    <s v="Inbound - Current Client (DEPRECATED)"/>
    <s v="São Carlos, BR"/>
    <s v="48"/>
    <s v="12"/>
    <s v="Customer Success"/>
    <s v="Upsell"/>
    <s v="02/2026"/>
    <n v="100"/>
  </r>
  <r>
    <s v="OPP-10120"/>
    <s v="ACC-1049"/>
    <x v="42"/>
    <s v="Bernardo Castro"/>
    <s v="Hazel Construction - Content - Social - AOR - 03/2026"/>
    <s v="Change Order/Upsell"/>
    <x v="2"/>
    <n v="58838.400000000001"/>
    <s v="BRL"/>
    <n v="58838.400000000001"/>
    <s v="BRL"/>
    <s v="Content - Social - AOR"/>
    <d v="2026-03-26T00:00:00"/>
    <d v="2026-04-02T00:00:00"/>
    <s v="Inbound - Current Client (DEPRECATED)"/>
    <s v="São Carlos, BR"/>
    <s v="19"/>
    <s v="12"/>
    <s v="Customer Success"/>
    <s v="Upsell"/>
    <s v="03/2026"/>
    <s v=""/>
  </r>
  <r>
    <s v="OPP-10212"/>
    <s v="ACC-1049"/>
    <x v="42"/>
    <s v="Bernardo Castro"/>
    <s v="Hazel Construction - Content - Social - AOR - 03/2026"/>
    <s v="Change Order/Upsell"/>
    <x v="3"/>
    <n v="54000"/>
    <s v="BRL"/>
    <n v="54000"/>
    <s v="BRL"/>
    <s v="Content - Social - AOR"/>
    <d v="2026-05-31T00:00:00"/>
    <d v="2026-03-30T00:00:00"/>
    <s v="Inbound - Current Client (DEPRECATED)"/>
    <s v="São Carlos, BR"/>
    <s v="15"/>
    <s v="3"/>
    <s v="Customer Success"/>
    <s v="Upsell"/>
    <s v="05/2026"/>
    <s v=""/>
  </r>
  <r>
    <s v="OPP-10113"/>
    <s v="ACC-1049"/>
    <x v="42"/>
    <s v="Bernardo Castro"/>
    <s v="Hazel Construction - Content - Social - AOR - 03/2026"/>
    <s v="Change Order/Upsell"/>
    <x v="2"/>
    <n v="29205.38"/>
    <s v="BRL"/>
    <n v="29205.38"/>
    <s v="BRL"/>
    <s v="Content - Social - AOR"/>
    <d v="2026-12-03T00:00:00"/>
    <d v="2026-01-29T00:00:00"/>
    <s v="Inbound - Current Client (DEPRECATED)"/>
    <s v="São Carlos, BR"/>
    <s v="33"/>
    <s v="1"/>
    <s v="Customer Success"/>
    <s v="Upsell"/>
    <s v="12/2026"/>
    <n v="308"/>
  </r>
  <r>
    <s v="OPP-10034"/>
    <s v="ACC-1049"/>
    <x v="42"/>
    <s v="Bernardo Castro"/>
    <s v="Hazel Construction - DDM - Media - Managed Media (AOR) - 04/2026"/>
    <s v="Change Order/Upsell"/>
    <x v="2"/>
    <n v="21044.400000000001"/>
    <s v="BRL"/>
    <n v="21044.400000000001"/>
    <s v="BRL"/>
    <s v="Content - Social - AOR"/>
    <d v="2026-01-22T00:00:00"/>
    <d v="2025-10-30T00:00:00"/>
    <s v="Inbound - Current Client (DEPRECATED)"/>
    <s v="São Carlos, BR"/>
    <s v="82"/>
    <s v="1"/>
    <s v="Customer Success"/>
    <s v="Upsell"/>
    <s v="01/2026"/>
    <n v="84"/>
  </r>
  <r>
    <s v="OPP-10221"/>
    <s v="ACC-1069"/>
    <x v="43"/>
    <s v="Bruno Costa"/>
    <s v="Honeysuckle Travel - Content - Social - AOR - 05/2026"/>
    <s v="Change Order/Upsell"/>
    <x v="4"/>
    <n v="120000"/>
    <s v="BRL"/>
    <n v="120000"/>
    <s v="BRL"/>
    <s v="Content - Social - AOR"/>
    <d v="2026-05-31T00:00:00"/>
    <d v="2026-02-04T00:00:00"/>
    <s v="Inbound - Current Client (DEPRECATED)"/>
    <s v="São Carlos, BR"/>
    <s v="12"/>
    <s v="6"/>
    <s v="Customer Success"/>
    <s v="Upsell"/>
    <s v="05/2026"/>
    <s v=""/>
  </r>
  <r>
    <s v="OPP-10109"/>
    <s v="ACC-1080"/>
    <x v="44"/>
    <s v="Xavier Correia"/>
    <s v="Lavender Publishing - Content - Social - AOR - 04/2026"/>
    <s v="Project - Competitive"/>
    <x v="0"/>
    <n v="360655.14"/>
    <s v="BRL"/>
    <n v="63055.14"/>
    <s v="BRL"/>
    <s v="Content - Social - AOR"/>
    <d v="2026-04-13T00:00:00"/>
    <d v="2026-01-23T00:00:00"/>
    <s v="Prospecting - Current Client (DEPRECATED)"/>
    <s v="Votorantim, BR"/>
    <s v="46"/>
    <s v="12"/>
    <s v="Customer Success"/>
    <s v="New Business"/>
    <s v="04/2026"/>
    <s v=""/>
  </r>
  <r>
    <s v="OPP-10058"/>
    <s v="ACC-1095"/>
    <x v="45"/>
    <s v="Yasmin Nogueira"/>
    <s v="Nimbus Media - Content - Social - AOR - 05/2026"/>
    <s v="Project - Competitive"/>
    <x v="3"/>
    <n v="2627267.83"/>
    <s v="BRL"/>
    <n v="813135.72"/>
    <s v="BRL"/>
    <s v="Content - Social - AOR"/>
    <d v="2026-11-05T00:00:00"/>
    <d v="2025-01-12T00:00:00"/>
    <s v="Referral - Personal"/>
    <s v="Votorantim, BR"/>
    <s v="54"/>
    <s v="12"/>
    <s v="Referral"/>
    <s v="New Business"/>
    <s v="11/2026"/>
    <s v=""/>
  </r>
  <r>
    <s v="OPP-10001"/>
    <s v="ACC-1031"/>
    <x v="17"/>
    <s v="Queila Ribeiro"/>
    <s v="Nova Studios - Content - Social - AOR - 04/2026"/>
    <s v="Change Order/Upsell"/>
    <x v="0"/>
    <n v="3043949.95"/>
    <s v="BRL"/>
    <n v="1475924.6"/>
    <s v="BRL"/>
    <s v="Content - Social - AOR"/>
    <d v="2026-04-30T00:00:00"/>
    <d v="2025-05-19T00:00:00"/>
    <s v="Inbound - Current Client (DEPRECATED)"/>
    <s v="São Carlos, BR"/>
    <s v="130"/>
    <s v="12"/>
    <s v="Customer Success"/>
    <s v="Upsell"/>
    <s v="04/2026"/>
    <s v=""/>
  </r>
  <r>
    <s v="OPP-10203"/>
    <s v="ACC-1033"/>
    <x v="46"/>
    <s v="Amanda Rios"/>
    <s v="Onyx Utilities - Content - Social - AOR - 05/2026"/>
    <s v="Change Order/Upsell"/>
    <x v="3"/>
    <n v="48076.800000000003"/>
    <s v="BRL"/>
    <n v="48076.800000000003"/>
    <s v="BRL"/>
    <s v="Content - Social - AOR"/>
    <d v="2026-05-31T00:00:00"/>
    <d v="2026-03-26T00:00:00"/>
    <s v="Inbound - Current Client (DEPRECATED)"/>
    <s v="Votorantim, BR"/>
    <s v="19"/>
    <s v="12"/>
    <s v="Customer Success"/>
    <s v="Upsell"/>
    <s v="05/2026"/>
    <s v=""/>
  </r>
  <r>
    <s v="OPP-10124"/>
    <s v="ACC-1040"/>
    <x v="47"/>
    <s v="Sofia Guimaraes"/>
    <s v="Quartz Pharma - DDM - Media - Creative - 06/2026"/>
    <s v="Change Order/Upsell"/>
    <x v="4"/>
    <n v="845252.85"/>
    <s v="BRL"/>
    <n v="120707.71"/>
    <s v="BRL"/>
    <s v="Content - Social - AOR"/>
    <d v="2026-06-30T00:00:00"/>
    <d v="2026-06-02T00:00:00"/>
    <s v="Inbound - Current Client (DEPRECATED)"/>
    <s v="São Carlos, BR"/>
    <s v="36"/>
    <s v="12"/>
    <s v="Customer Success"/>
    <s v="Upsell"/>
    <s v="06/2026"/>
    <s v=""/>
  </r>
  <r>
    <s v="OPP-10100"/>
    <s v="ACC-1024"/>
    <x v="48"/>
    <s v="Carla Mendes"/>
    <s v="Topaz Publishing - Content - Social - AOR - 04/2026"/>
    <s v="Change Order/Upsell"/>
    <x v="2"/>
    <n v="17899"/>
    <s v="BRL"/>
    <n v="17899"/>
    <s v="BRL"/>
    <s v="Content - Social - AOR"/>
    <d v="2026-01-04T00:00:00"/>
    <d v="2026-01-21T00:00:00"/>
    <s v="Inbound - Current Client (DEPRECATED)"/>
    <s v="São Carlos, BR"/>
    <s v="13"/>
    <s v="1"/>
    <s v="Customer Success"/>
    <s v="Upsell"/>
    <s v="01/2026"/>
    <s v=""/>
  </r>
  <r>
    <s v="OPP-10065"/>
    <s v="ACC-1092"/>
    <x v="49"/>
    <s v="Joao Pereira"/>
    <s v="Umbra Gaming - Content - Social - AOR - 01/2026"/>
    <s v="Project - Competitive"/>
    <x v="2"/>
    <n v="300000"/>
    <s v="BRL"/>
    <n v="300000"/>
    <s v="BRL"/>
    <s v="Content - Social - AOR"/>
    <d v="2026-12-01T00:00:00"/>
    <d v="2025-08-12T00:00:00"/>
    <s v="Referral - Personal "/>
    <s v="Votorantim, BR"/>
    <s v="90"/>
    <s v="12"/>
    <s v="Referral"/>
    <s v="New Business"/>
    <s v="12/2026"/>
    <n v="476"/>
  </r>
  <r>
    <s v="OPP-10159"/>
    <s v="ACC-1111"/>
    <x v="26"/>
    <s v="Wanda Borges"/>
    <s v="Walnut Manufacturing - Content - Social - AOR - 05/2026"/>
    <s v="Project - Competitive"/>
    <x v="1"/>
    <n v="2133050.04"/>
    <s v="BRL"/>
    <n v="768956.4"/>
    <s v="BRL"/>
    <s v="Content - Social - AOR"/>
    <d v="2026-05-29T00:00:00"/>
    <d v="2026-03-03T00:00:00"/>
    <s v="Inbound - Website - Media.Monks (DEPRECATED)"/>
    <s v="Votorantim, BR"/>
    <s v="15"/>
    <s v="12"/>
    <s v="Inbound"/>
    <s v="New Business"/>
    <s v="05/2026"/>
    <s v=""/>
  </r>
  <r>
    <s v="OPP-10045"/>
    <s v="ACC-1029"/>
    <x v="32"/>
    <s v="Ana Silva"/>
    <s v="Zephyr Telecom - DDM - Data - Services &amp; Tech - Services (Analytics &amp; Support) - 02/2026"/>
    <s v="Flex/Renewal"/>
    <x v="2"/>
    <n v="3785206.2099999995"/>
    <s v="BRL"/>
    <n v="598144.80000000005"/>
    <s v="BRL"/>
    <s v="Content - Social - Project"/>
    <d v="2026-02-13T00:00:00"/>
    <d v="2025-11-14T00:00:00"/>
    <s v="Inbound - Current Client (DEPRECATED)"/>
    <s v="São Carlos, BR"/>
    <s v="60"/>
    <s v="12"/>
    <s v="Customer Success"/>
    <s v="Upsell"/>
    <s v="02/2026"/>
    <n v="91"/>
  </r>
  <r>
    <s v="OPP-10234"/>
    <s v="ACC-1029"/>
    <x v="32"/>
    <s v="Ana Silva"/>
    <s v="Zephyr Telecom - DDM - Media - Managed Media (AOR) - 01/2026"/>
    <s v="Change Order/Upsell"/>
    <x v="1"/>
    <n v="414939.84"/>
    <s v="BRL"/>
    <n v="414939.84"/>
    <s v="BRL"/>
    <s v="Content - Social - Project"/>
    <d v="2026-07-31T00:00:00"/>
    <d v="2026-09-04T00:00:00"/>
    <s v="MH Lead (DEPRECATED)"/>
    <s v="São Carlos, BR"/>
    <s v="1"/>
    <s v="12"/>
    <s v="Unknown"/>
    <s v="Upsell"/>
    <s v="07/2026"/>
    <s v=""/>
  </r>
  <r>
    <s v="OPP-10223"/>
    <s v="ACC-1052"/>
    <x v="50"/>
    <s v="Karina Oliveira"/>
    <s v="Gravel Manufacturing - DDM - Commerce - Content - 06/2026"/>
    <s v="Change Order/Upsell"/>
    <x v="1"/>
    <n v="477489.48"/>
    <s v="BRL"/>
    <n v="477489.48"/>
    <s v="BRL"/>
    <s v="DDM - Commerce - Content"/>
    <d v="2026-06-30T00:00:00"/>
    <d v="2026-02-04T00:00:00"/>
    <s v="MH Lead (DEPRECATED)"/>
    <s v="São Carlos, BR"/>
    <s v="4"/>
    <s v="12"/>
    <s v="Unknown"/>
    <s v="Upsell"/>
    <s v="06/2026"/>
    <s v=""/>
  </r>
  <r>
    <s v="OPP-10036"/>
    <s v="ACC-1004"/>
    <x v="51"/>
    <s v="Carla Mendes"/>
    <s v="Harbor Grocers - DDM - Commerce - Content - 01/2026"/>
    <s v="Flex/Renewal"/>
    <x v="2"/>
    <n v="1038355.7999999999"/>
    <s v="BRL"/>
    <n v="196152.12"/>
    <s v="BRL"/>
    <s v="DDM - Commerce - Content"/>
    <d v="2026-01-14T00:00:00"/>
    <d v="2025-06-11T00:00:00"/>
    <s v="Inbound - Current Client (DEPRECATED)"/>
    <s v="São Carlos, BR"/>
    <s v="90"/>
    <s v="12"/>
    <s v="Customer Success"/>
    <s v="Upsell"/>
    <s v="01/2026"/>
    <n v="217"/>
  </r>
  <r>
    <s v="OPP-10061"/>
    <s v="ACC-1004"/>
    <x v="51"/>
    <s v="Carla Mendes"/>
    <s v="Harbor Grocers - DDM - Commerce - Content - 01/2026"/>
    <s v="Change Order/Upsell"/>
    <x v="2"/>
    <n v="358921.88"/>
    <s v="BRL"/>
    <n v="197384.28"/>
    <s v="BRL"/>
    <s v="DDM - Commerce - Content"/>
    <d v="2026-01-14T00:00:00"/>
    <d v="2025-04-12T00:00:00"/>
    <s v="Inbound - Current Client (DEPRECATED) "/>
    <s v="São Carlos, BR"/>
    <s v="90"/>
    <s v="12"/>
    <s v="Customer Success"/>
    <s v="Upsell"/>
    <s v="01/2026"/>
    <n v="277"/>
  </r>
  <r>
    <s v="OPP-10084"/>
    <s v="ACC-1004"/>
    <x v="51"/>
    <s v="Carla Mendes"/>
    <s v="Harbor Grocers - DDM - Media - Managed Media (AOR) - 01/2026"/>
    <s v="Change Order/Upsell"/>
    <x v="2"/>
    <n v="45500"/>
    <s v="BRL"/>
    <n v="27900"/>
    <s v="BRL"/>
    <s v="DDM - Commerce - Content"/>
    <d v="2026-01-14T00:00:00"/>
    <d v="2025-12-23T00:00:00"/>
    <s v="Inbound - Current Client (DEPRECATED)"/>
    <s v="São Carlos, BR"/>
    <s v="90"/>
    <s v="2"/>
    <s v="Customer Success"/>
    <s v="Upsell"/>
    <s v="01/2026"/>
    <n v="22"/>
  </r>
  <r>
    <s v="OPP-10187"/>
    <s v="ACC-1004"/>
    <x v="51"/>
    <s v="Carla Mendes"/>
    <s v="Harbor Grocers - DDM - Media - Creative - 04/2026"/>
    <s v="Change Order/Upsell"/>
    <x v="2"/>
    <n v="45500"/>
    <s v="BRL"/>
    <n v="27900"/>
    <s v="BRL"/>
    <s v="DDM - Commerce - Content"/>
    <d v="2026-08-04T00:00:00"/>
    <d v="2026-03-19T00:00:00"/>
    <s v="Inbound - Current Client (DEPRECATED)"/>
    <s v="São Carlos, BR"/>
    <s v="6"/>
    <s v="2"/>
    <s v="Customer Success"/>
    <s v="Upsell"/>
    <s v="08/2026"/>
    <n v="138"/>
  </r>
  <r>
    <s v="OPP-10168"/>
    <s v="ACC-1069"/>
    <x v="43"/>
    <s v="Bruno Costa"/>
    <s v="Honeysuckle Travel - DDM - Commerce - Content - 05/2026"/>
    <s v="Flex/Renewal"/>
    <x v="4"/>
    <n v="809225.34"/>
    <s v="BRL"/>
    <n v="117104.22"/>
    <s v="BRL"/>
    <s v="DDM - Commerce - Content"/>
    <d v="2026-05-31T00:00:00"/>
    <d v="2026-06-03T00:00:00"/>
    <s v="Inbound - Current Client (DEPRECATED)"/>
    <s v="São Carlos, BR"/>
    <s v="18"/>
    <s v="6"/>
    <s v="Customer Success"/>
    <s v="Upsell"/>
    <s v="05/2026"/>
    <s v=""/>
  </r>
  <r>
    <s v="OPP-10160"/>
    <s v="ACC-1065"/>
    <x v="36"/>
    <s v="Joao Pereira"/>
    <s v="Larkspur Foods - DDM - Commerce - Content - 05/2026"/>
    <s v="Project - Competitive"/>
    <x v="1"/>
    <n v="265000"/>
    <s v="BRL"/>
    <n v="204000"/>
    <s v="BRL"/>
    <s v="DDM - Commerce - Content"/>
    <d v="2026-04-05T00:00:00"/>
    <d v="2026-03-03T00:00:00"/>
    <s v="Referral - Personal"/>
    <s v="São Carlos, BR"/>
    <s v="19"/>
    <s v="12"/>
    <s v="Referral"/>
    <s v="New Business"/>
    <s v="04/2026"/>
    <s v=""/>
  </r>
  <r>
    <s v="OPP-10020"/>
    <s v="ACC-1041"/>
    <x v="14"/>
    <s v="Amanda Rios"/>
    <s v="Linden Foods - DDM - Commerce - Content - 07/2026"/>
    <s v="Change Order/Upsell"/>
    <x v="3"/>
    <n v="366989.64"/>
    <s v="BRL"/>
    <n v="366989.64"/>
    <s v="BRL"/>
    <s v="DDM - Commerce - Content"/>
    <d v="2026-07-31T00:00:00"/>
    <d v="2025-02-10T00:00:00"/>
    <s v="Inbound - Current Client (DEPRECATED)"/>
    <s v="São Carlos, BR"/>
    <s v="26"/>
    <s v="12"/>
    <s v="Customer Success"/>
    <s v="Upsell"/>
    <s v="07/2026"/>
    <s v=""/>
  </r>
  <r>
    <s v="OPP-10144"/>
    <s v="ACC-1041"/>
    <x v="14"/>
    <s v="Amanda Rios"/>
    <s v="Linden Foods - DDM - Commerce - Content - 05/2026"/>
    <s v="Flex/Renewal"/>
    <x v="3"/>
    <n v="1926466.8"/>
    <s v="BRL"/>
    <n v="1332880.08"/>
    <s v="BRL"/>
    <s v="DDM - Commerce - Content"/>
    <d v="2026-05-31T00:00:00"/>
    <d v="2026-02-20T00:00:00"/>
    <s v="Inbound - Current Client (DEPRECATED)"/>
    <s v="São Carlos, BR"/>
    <s v="26"/>
    <s v="12"/>
    <s v="Customer Success"/>
    <s v="Upsell"/>
    <s v="05/2026"/>
    <s v=""/>
  </r>
  <r>
    <s v="OPP-10118"/>
    <s v="ACC-1066"/>
    <x v="15"/>
    <s v="Carla Mendes"/>
    <s v="Magnolia Retail - DDM - Commerce - Content - 05/2026"/>
    <s v="Change Order/Upsell"/>
    <x v="1"/>
    <n v="795900.24"/>
    <s v="BRL"/>
    <n v="165852.79999999999"/>
    <s v="BRL"/>
    <s v="DDM - Commerce - Content"/>
    <d v="2026-05-31T00:00:00"/>
    <d v="2026-04-02T00:00:00"/>
    <s v="Inbound - Current Client (DEPRECATED)"/>
    <s v="São Carlos, BR"/>
    <s v="69"/>
    <s v="3"/>
    <s v="Customer Success"/>
    <s v="Upsell"/>
    <s v="05/2026"/>
    <s v=""/>
  </r>
  <r>
    <s v="OPP-10195"/>
    <s v="ACC-1066"/>
    <x v="15"/>
    <s v="Carla Mendes"/>
    <s v="Magnolia Retail - DDM - Commerce - Content - 04/2026"/>
    <s v="Change Order/Upsell"/>
    <x v="3"/>
    <n v="308940"/>
    <s v="BRL"/>
    <n v="308940"/>
    <s v="BRL"/>
    <s v="DDM - Commerce - Content"/>
    <d v="2026-04-30T00:00:00"/>
    <d v="2026-03-23T00:00:00"/>
    <s v="Inbound - Current Client (DEPRECATED)"/>
    <s v="São Carlos, BR"/>
    <s v="13"/>
    <s v="12"/>
    <s v="Customer Success"/>
    <s v="Upsell"/>
    <s v="04/2026"/>
    <s v=""/>
  </r>
  <r>
    <s v="OPP-10058"/>
    <s v="ACC-1095"/>
    <x v="45"/>
    <s v="Yasmin Nogueira"/>
    <s v="Nimbus Media - DDM - Commerce - Content - 05/2026"/>
    <s v="Project - Competitive"/>
    <x v="3"/>
    <n v="2627267.83"/>
    <s v="BRL"/>
    <n v="239159.76"/>
    <s v="BRL"/>
    <s v="DDM - Commerce - Content"/>
    <d v="2026-11-05T00:00:00"/>
    <d v="2025-01-12T00:00:00"/>
    <s v="Referral - Personal"/>
    <s v="Votorantim, BR"/>
    <s v="54"/>
    <s v="12"/>
    <s v="Referral"/>
    <s v="New Business"/>
    <s v="11/2026"/>
    <s v=""/>
  </r>
  <r>
    <s v="OPP-10057"/>
    <s v="ACC-1031"/>
    <x v="17"/>
    <s v="Queila Ribeiro"/>
    <s v="Nova Studios - DDM - Data - Services &amp; Tech - Services (Analytics &amp; Support) - 03/2026"/>
    <s v="Change Order/Upsell"/>
    <x v="3"/>
    <n v="3015949.3200000003"/>
    <s v="BRL"/>
    <n v="1130106.3600000001"/>
    <s v="BRL"/>
    <s v="DDM - Commerce - Content"/>
    <d v="2026-07-31T00:00:00"/>
    <d v="2025-01-12T00:00:00"/>
    <s v="Inbound - Current Client (DEPRECATED)"/>
    <s v="São Carlos, BR"/>
    <s v="134"/>
    <s v="12"/>
    <s v="Customer Success"/>
    <s v="Upsell"/>
    <s v="07/2026"/>
    <s v=""/>
  </r>
  <r>
    <s v="OPP-10098"/>
    <s v="ACC-1031"/>
    <x v="17"/>
    <s v="Queila Ribeiro"/>
    <s v="Nova Studios - DDM - Media - Managed Media (AOR) - 04/2026"/>
    <s v="Change Order/Upsell"/>
    <x v="0"/>
    <n v="500000"/>
    <s v="BRL"/>
    <n v="500000"/>
    <s v="BRL"/>
    <s v="DDM - Commerce - Content"/>
    <d v="2026-05-31T00:00:00"/>
    <d v="2026-01-19T00:00:00"/>
    <s v="Inbound - Current Client (DEPRECATED)"/>
    <s v="São Carlos, BR"/>
    <s v="29"/>
    <s v="6"/>
    <s v="Customer Success"/>
    <s v="Upsell"/>
    <s v="05/2026"/>
    <s v=""/>
  </r>
  <r>
    <s v="OPP-10217"/>
    <s v="ACC-1056"/>
    <x v="18"/>
    <s v="Carla Mendes"/>
    <s v="Orion Bank - DDM - Commerce - Content - 04/2026"/>
    <s v="Change Order/Upsell"/>
    <x v="2"/>
    <n v="8023.37"/>
    <s v="BRL"/>
    <n v="8023.37"/>
    <s v="BRL"/>
    <s v="DDM - Commerce - Content"/>
    <d v="2026-04-13T00:00:00"/>
    <d v="2026-01-04T00:00:00"/>
    <s v="Existing Client - Account/Growth Activity"/>
    <s v="Votorantim, BR"/>
    <s v="1"/>
    <s v="1"/>
    <s v="Customer Success"/>
    <s v="Upsell"/>
    <s v="04/2026"/>
    <n v="99"/>
  </r>
  <r>
    <s v="OPP-10169"/>
    <s v="ACC-1017"/>
    <x v="21"/>
    <s v="Pedro Martins"/>
    <s v="Quince Travel - DDM - Commerce - Content - 04/2026"/>
    <s v="Flex/Renewal"/>
    <x v="0"/>
    <n v="2510326.92"/>
    <s v="BRL"/>
    <n v="1483449.96"/>
    <s v="BRL"/>
    <s v="DDM - Commerce - Content"/>
    <d v="2026-04-30T00:00:00"/>
    <d v="2026-06-03T00:00:00"/>
    <s v="Inbound - Current Client (DEPRECATED)"/>
    <s v="São Carlos, BR"/>
    <s v="39"/>
    <s v="12"/>
    <s v="Customer Success"/>
    <s v="Upsell"/>
    <s v="04/2026"/>
    <s v=""/>
  </r>
  <r>
    <s v="OPP-10164"/>
    <s v="ACC-1036"/>
    <x v="52"/>
    <s v="Pedro Martins"/>
    <s v="Rowan Energy - DDM - Media - Managed Media (AOR) - 03/2026"/>
    <s v="Change Order/Upsell"/>
    <x v="2"/>
    <n v="274209.96999999997"/>
    <s v="BRL"/>
    <n v="26598.37"/>
    <s v="BRL"/>
    <s v="DDM - Commerce - Content"/>
    <d v="2026-05-03T00:00:00"/>
    <d v="2026-05-03T00:00:00"/>
    <s v="Inbound - Current Client (DEPRECATED)"/>
    <s v="Votorantim, BR"/>
    <s v="40"/>
    <s v="1"/>
    <s v="Customer Success"/>
    <s v="Upsell"/>
    <s v="05/2026"/>
    <s v=""/>
  </r>
  <r>
    <s v="OPP-10213"/>
    <s v="ACC-1006"/>
    <x v="27"/>
    <s v="Bruno Costa"/>
    <s v="Willow Beauty - DDM - Media - Creative - 04/2026"/>
    <s v="Change Order/Upsell"/>
    <x v="0"/>
    <n v="139766.74"/>
    <s v="BRL"/>
    <n v="64706.04"/>
    <s v="BRL"/>
    <s v="DDM - Commerce - Content"/>
    <d v="2026-04-29T00:00:00"/>
    <d v="2026-03-30T00:00:00"/>
    <s v="Referral - S4 Company"/>
    <s v="Votorantim, BR"/>
    <s v="14"/>
    <s v="1"/>
    <s v="Referral"/>
    <s v="Upsell"/>
    <s v="04/2026"/>
    <s v=""/>
  </r>
  <r>
    <s v="OPP-10171"/>
    <s v="ACC-1091"/>
    <x v="28"/>
    <s v="Karina Oliveira"/>
    <s v="Wren Chemicals - DDM - Commerce - Content - 06/2026"/>
    <s v="Flex/Renewal"/>
    <x v="0"/>
    <n v="1993383.1199999999"/>
    <s v="BRL"/>
    <n v="1271332.8"/>
    <s v="BRL"/>
    <s v="DDM - Commerce - Content"/>
    <d v="2026-02-06T00:00:00"/>
    <d v="2026-09-03T00:00:00"/>
    <s v="Inbound - Current Client (DEPRECATED)"/>
    <s v="São Carlos, BR"/>
    <s v="15"/>
    <s v="12"/>
    <s v="Customer Success"/>
    <s v="Upsell"/>
    <s v="02/2026"/>
    <s v=""/>
  </r>
  <r>
    <s v="OPP-10207"/>
    <s v="ACC-1043"/>
    <x v="29"/>
    <s v="Bernardo Castro"/>
    <s v="Xanadu Media - DDM - Commerce - Content - 04/2026"/>
    <s v="Change Order/Upsell"/>
    <x v="1"/>
    <n v="838800"/>
    <s v="BRL"/>
    <n v="248400"/>
    <s v="BRL"/>
    <s v="DDM - Commerce - Content"/>
    <d v="2026-06-30T00:00:00"/>
    <d v="2026-03-30T00:00:00"/>
    <s v="Prospecting - Current Client (DEPRECATED)"/>
    <s v="Votorantim, BR"/>
    <s v="5"/>
    <s v="12"/>
    <s v="Customer Success"/>
    <s v="Upsell"/>
    <s v="06/2026"/>
    <s v=""/>
  </r>
  <r>
    <s v="OPP-10085"/>
    <s v="ACC-1043"/>
    <x v="29"/>
    <s v="Bernardo Castro"/>
    <s v="Xanadu Media - DDM - Media - Managed Media (AOR) - 06/2026"/>
    <s v="Change Order/Upsell"/>
    <x v="0"/>
    <n v="134323.20000000001"/>
    <s v="BRL"/>
    <n v="134323.20000000001"/>
    <s v="BRL"/>
    <s v="DDM - Commerce - Content"/>
    <d v="2026-04-30T00:00:00"/>
    <d v="2025-12-29T00:00:00"/>
    <s v="Inbound - Current Client (DEPRECATED)"/>
    <s v="Votorantim, BR"/>
    <s v="68"/>
    <s v="12"/>
    <s v="Customer Success"/>
    <s v="Upsell"/>
    <s v="04/2026"/>
    <s v=""/>
  </r>
  <r>
    <s v="OPP-10143"/>
    <s v="ACC-1028"/>
    <x v="53"/>
    <s v="Bernardo Castro"/>
    <s v="Xenon Realty - DDM - Commerce - Content - 05/2026"/>
    <s v="Change Order/Upsell"/>
    <x v="3"/>
    <n v="694094.88"/>
    <s v="BRL"/>
    <n v="292423.2"/>
    <s v="BRL"/>
    <s v="DDM - Commerce - Content"/>
    <d v="2026-05-31T00:00:00"/>
    <d v="2026-02-19T00:00:00"/>
    <s v="Inbound - Current Client (DEPRECATED)"/>
    <s v="Votorantim, BR"/>
    <s v="33"/>
    <s v="12"/>
    <s v="Customer Success"/>
    <s v="Upsell"/>
    <s v="05/2026"/>
    <s v=""/>
  </r>
  <r>
    <s v="OPP-10241"/>
    <s v="ACC-1081"/>
    <x v="30"/>
    <s v="Amanda Rios"/>
    <s v="Yarrow Health - DDM - Commerce - Content - 06/2026"/>
    <s v="Flex/Renewal"/>
    <x v="4"/>
    <n v="695284.8"/>
    <s v="BRL"/>
    <n v="170638.2"/>
    <s v="BRL"/>
    <s v="DDM - Commerce - Content"/>
    <d v="2026-06-30T00:00:00"/>
    <d v="2026-10-04T00:00:00"/>
    <s v="Existing Client - Account/Growth Activity"/>
    <s v="São Carlos, BR"/>
    <s v="4"/>
    <s v="12"/>
    <s v="Customer Success"/>
    <s v="Upsell"/>
    <s v="06/2026"/>
    <s v=""/>
  </r>
  <r>
    <s v="OPP-10051"/>
    <s v="ACC-1044"/>
    <x v="54"/>
    <s v="Carla Mendes"/>
    <s v="Yerba Studios - DDM - Commerce - Content - 01/2026"/>
    <s v="Flex/Renewal"/>
    <x v="2"/>
    <n v="760000"/>
    <s v="BRL"/>
    <n v="131750"/>
    <s v="BRL"/>
    <s v="DDM - Commerce - Content"/>
    <d v="2026-01-27T00:00:00"/>
    <d v="2025-11-26T00:00:00"/>
    <s v="Inbound - Current Client (DEPRECATED)"/>
    <s v="São Carlos, BR"/>
    <s v="77"/>
    <s v="12"/>
    <s v="Customer Success"/>
    <s v="Upsell"/>
    <s v="01/2026"/>
    <n v="62"/>
  </r>
  <r>
    <s v="OPP-10076"/>
    <s v="ACC-1044"/>
    <x v="54"/>
    <s v="Carla Mendes"/>
    <s v="Yerba Studios - DDM - Commerce - Content - 01/2026"/>
    <s v="Change Order/Upsell"/>
    <x v="2"/>
    <n v="10784"/>
    <s v="BRL"/>
    <n v="5392"/>
    <s v="BRL"/>
    <s v="DDM - Commerce - Content"/>
    <d v="2026-01-27T00:00:00"/>
    <d v="2025-12-18T00:00:00"/>
    <s v="Inbound - Current Client (DEPRECATED)"/>
    <s v="São Carlos, BR"/>
    <s v="77"/>
    <s v="12"/>
    <s v="Customer Success"/>
    <s v="Upsell"/>
    <s v="01/2026"/>
    <n v="40"/>
  </r>
  <r>
    <s v="OPP-10134"/>
    <s v="ACC-1064"/>
    <x v="1"/>
    <s v="Daniel Moura"/>
    <s v="Arrow Construction - DDM - Data - Services &amp; Tech - Services (Data Science/Data Eng.) - 05/2026"/>
    <s v="Change Order/Upsell"/>
    <x v="1"/>
    <n v="1429074.08"/>
    <s v="BRL"/>
    <n v="349188.48"/>
    <s v="BRL"/>
    <s v="DDM - CRM - Other"/>
    <d v="2026-05-29T00:00:00"/>
    <d v="2026-02-13T00:00:00"/>
    <s v="Inbound - Current Client (DEPRECATED)"/>
    <s v="São Carlos, BR"/>
    <s v="33"/>
    <s v="12"/>
    <s v="Customer Success"/>
    <s v="Upsell"/>
    <s v="05/2026"/>
    <s v=""/>
  </r>
  <r>
    <s v="OPP-10099"/>
    <s v="ACC-1112"/>
    <x v="4"/>
    <s v="Xavier Correia"/>
    <s v="Company 111 - DDM - CRM - Other - 02/2026"/>
    <s v="Project - Competitive"/>
    <x v="2"/>
    <n v="4293965.2399999993"/>
    <s v="BRL"/>
    <n v="439216.68"/>
    <s v="BRL"/>
    <s v="DDM - CRM - Other"/>
    <d v="2026-02-27T00:00:00"/>
    <d v="2026-01-20T00:00:00"/>
    <s v="Referral - S4 Company"/>
    <s v="São Carlos, BR"/>
    <s v="46"/>
    <s v="12"/>
    <s v="Referral"/>
    <s v="New Business"/>
    <s v="02/2026"/>
    <n v="38"/>
  </r>
  <r>
    <s v="OPP-10091"/>
    <s v="ACC-1084"/>
    <x v="16"/>
    <s v="Bruno Costa"/>
    <s v="Nigella Security - DDM - Media - Creative - 02/2026"/>
    <s v="Flex/Renewal"/>
    <x v="2"/>
    <n v="3156666.46"/>
    <s v="BRL"/>
    <n v="660775.92000000004"/>
    <s v="BRL"/>
    <s v="DDM - CRM - Other"/>
    <d v="2026-02-26T00:00:00"/>
    <d v="2026-12-01T00:00:00"/>
    <s v="Inbound - Current Client (DEPRECATED)"/>
    <s v="São Carlos, BR"/>
    <s v="47"/>
    <s v="12"/>
    <s v="Customer Success"/>
    <s v="Upsell"/>
    <s v="02/2026"/>
    <s v=""/>
  </r>
  <r>
    <s v="OPP-10035"/>
    <s v="ACC-1010"/>
    <x v="12"/>
    <s v="Lucas Almeida"/>
    <s v="Juniper Data - DDM - CRM - Salesforce Marketing Cloud - 06/2026"/>
    <s v="Project - Competitive"/>
    <x v="3"/>
    <n v="286464"/>
    <s v="BRL"/>
    <n v="250464"/>
    <s v="BRL"/>
    <s v="DDM - CRM - Salesforce Marketing Cloud"/>
    <d v="2026-06-29T00:00:00"/>
    <d v="2025-03-11T00:00:00"/>
    <s v="Industry Event"/>
    <s v="São Carlos, BR"/>
    <s v="134"/>
    <s v="24"/>
    <s v="Event"/>
    <s v="New Business"/>
    <s v="06/2026"/>
    <s v=""/>
  </r>
  <r>
    <s v="OPP-10031"/>
    <s v="ACC-1070"/>
    <x v="55"/>
    <s v="Wanda Borges"/>
    <s v="Quinoa Foods - DDM - Data - Services &amp; Tech - Services (Data Science/Data Eng.) - 01/2026"/>
    <s v="Project - Competitive"/>
    <x v="2"/>
    <n v="1014586.08"/>
    <s v="BRL"/>
    <n v="286707.59999999998"/>
    <s v="BRL"/>
    <s v="DDM - CRM - Salesforce Marketing Cloud"/>
    <d v="2026-06-01T00:00:00"/>
    <d v="2025-10-27T00:00:00"/>
    <s v="Prospecting - Current Client (DEPRECATED)"/>
    <s v="São Paulo, BR"/>
    <s v="98"/>
    <s v="6"/>
    <s v="Customer Success"/>
    <s v="New Business"/>
    <s v="06/2026"/>
    <n v="217"/>
  </r>
  <r>
    <s v="OPP-10128"/>
    <s v="ACC-1074"/>
    <x v="56"/>
    <s v="Wanda Borges"/>
    <s v="Tamarind Bank - DDM - CRM - Salesforce Marketing Cloud - 05/2026"/>
    <s v="Project - Competitive"/>
    <x v="1"/>
    <n v="863424.8"/>
    <s v="BRL"/>
    <n v="487402.9"/>
    <s v="BRL"/>
    <s v="DDM - CRM - Salesforce Marketing Cloud"/>
    <d v="2026-01-05T00:00:00"/>
    <d v="2026-11-02T00:00:00"/>
    <s v="Prospecting - Current Client (DEPRECATED)"/>
    <s v="São Carlos, BR"/>
    <s v="55"/>
    <s v="10"/>
    <s v="Customer Success"/>
    <s v="New Business"/>
    <s v="01/2026"/>
    <s v=""/>
  </r>
  <r>
    <s v="OPP-10236"/>
    <s v="ACC-1074"/>
    <x v="56"/>
    <s v="Wanda Borges"/>
    <s v="Tamarind Bank - DDM - CRM - Salesforce Marketing Cloud - 06/2026"/>
    <s v="Project - Not Competitive"/>
    <x v="4"/>
    <n v="265143.84999999998"/>
    <s v="BRL"/>
    <n v="265143.84999999998"/>
    <s v="BRL"/>
    <s v="DDM - CRM - Salesforce Marketing Cloud"/>
    <d v="2026-08-06T00:00:00"/>
    <d v="2026-09-04T00:00:00"/>
    <s v="Referral - Personal"/>
    <s v="São Carlos, BR"/>
    <s v="5"/>
    <s v="5"/>
    <s v="Referral"/>
    <s v="New Business"/>
    <s v="08/2026"/>
    <s v=""/>
  </r>
  <r>
    <s v="OPP-10165"/>
    <s v="ACC-1090"/>
    <x v="57"/>
    <s v="Bruno Costa"/>
    <s v="Filbert Sports - DDM - Data - Automation - 06/2026"/>
    <s v="Change Order/Upsell"/>
    <x v="4"/>
    <n v="120000"/>
    <s v="BRL"/>
    <n v="120000"/>
    <s v="BRL"/>
    <s v="DDM - Data - Automation"/>
    <d v="2026-06-30T00:00:00"/>
    <d v="2026-06-03T00:00:00"/>
    <s v="Inbound - Current Client (DEPRECATED) "/>
    <s v="São Carlos, BR"/>
    <s v="33"/>
    <s v="12"/>
    <s v="Customer Success"/>
    <s v="Upsell"/>
    <s v="06/2026"/>
    <s v=""/>
  </r>
  <r>
    <s v="OPP-10087"/>
    <s v="ACC-1061"/>
    <x v="58"/>
    <s v="Sofia Guimaraes"/>
    <s v="Nectarine Cosmetics - DDM - Data - Automation - 04/2026"/>
    <s v="Flex/Renewal"/>
    <x v="0"/>
    <n v="120000"/>
    <s v="BRL"/>
    <n v="120000"/>
    <s v="BRL"/>
    <s v="DDM - Data - Automation"/>
    <d v="2026-04-30T00:00:00"/>
    <d v="2026-08-01T00:00:00"/>
    <s v="Inbound - Current Client (DEPRECATED)"/>
    <s v="São Carlos, BR"/>
    <s v="60"/>
    <s v="12"/>
    <s v="Customer Success"/>
    <s v="Upsell"/>
    <s v="04/2026"/>
    <s v=""/>
  </r>
  <r>
    <s v="OPP-10133"/>
    <s v="ACC-1061"/>
    <x v="58"/>
    <s v="Sofia Guimaraes"/>
    <s v="Nectarine Cosmetics - DDM - Data - Automation - 04/2026"/>
    <s v="Change Order/Upsell"/>
    <x v="0"/>
    <n v="24000"/>
    <s v="BRL"/>
    <n v="24000"/>
    <s v="BRL"/>
    <s v="DDM - Data - Automation"/>
    <d v="2026-04-30T00:00:00"/>
    <d v="2026-12-02T00:00:00"/>
    <s v="Inbound - Current Client (DEPRECATED)"/>
    <s v="São Carlos, BR"/>
    <s v="60"/>
    <s v="12"/>
    <s v="Customer Success"/>
    <s v="Upsell"/>
    <s v="04/2026"/>
    <s v=""/>
  </r>
  <r>
    <s v="OPP-10121"/>
    <s v="ACC-1089"/>
    <x v="59"/>
    <s v="Karina Oliveira"/>
    <s v="Sage Streaming - DDM - Data - Automation - 03/2026"/>
    <s v="Change Order/Upsell"/>
    <x v="2"/>
    <n v="252348"/>
    <s v="BRL"/>
    <n v="252348"/>
    <s v="BRL"/>
    <s v="DDM - Data - Automation"/>
    <d v="2026-03-25T00:00:00"/>
    <d v="2026-05-02T00:00:00"/>
    <s v="Inbound - Current Client (DEPRECATED)"/>
    <s v="São Paulo, BR"/>
    <s v="20"/>
    <s v="12"/>
    <s v="Customer Success"/>
    <s v="Upsell"/>
    <s v="03/2026"/>
    <s v=""/>
  </r>
  <r>
    <s v="OPP-10181"/>
    <s v="ACC-1058"/>
    <x v="60"/>
    <s v="Bruno Costa"/>
    <s v="Summit Auto - DDM - Data - Automation - 06/2026"/>
    <s v="Change Order/Upsell"/>
    <x v="4"/>
    <n v="144000"/>
    <s v="BRL"/>
    <n v="144000"/>
    <s v="BRL"/>
    <s v="DDM - Data - Automation"/>
    <d v="2026-06-30T00:00:00"/>
    <d v="2026-03-13T00:00:00"/>
    <s v="Inbound - Current Client (DEPRECATED)"/>
    <s v="São Carlos, BR"/>
    <s v="32"/>
    <s v="12"/>
    <s v="Customer Success"/>
    <s v="Upsell"/>
    <s v="06/2026"/>
    <s v=""/>
  </r>
  <r>
    <s v="OPP-10138"/>
    <s v="ACC-1079"/>
    <x v="61"/>
    <s v="Nicolas Teixeira"/>
    <s v="Vervain Mobility - DDM - Data - Automation - 05/2026"/>
    <s v="Project - Not Competitive"/>
    <x v="1"/>
    <n v="144000"/>
    <s v="BRL"/>
    <n v="144000"/>
    <s v="BRL"/>
    <s v="DDM - Data - Automation"/>
    <d v="2026-05-29T00:00:00"/>
    <d v="2026-02-13T00:00:00"/>
    <s v="Referral - Personal"/>
    <s v="São Carlos, BR"/>
    <s v="43"/>
    <s v="12"/>
    <s v="Referral"/>
    <s v="New Business"/>
    <s v="05/2026"/>
    <s v=""/>
  </r>
  <r>
    <s v="OPP-10048"/>
    <s v="ACC-1106"/>
    <x v="62"/>
    <s v="Joao Pereira"/>
    <s v="Yucca Farms - DDM - Data - Automation - 03/2026"/>
    <s v="Project - Competitive"/>
    <x v="2"/>
    <n v="195525"/>
    <s v="BRL"/>
    <n v="25500"/>
    <s v="BRL"/>
    <s v="DDM - Data - Automation"/>
    <d v="2026-03-31T00:00:00"/>
    <d v="2025-11-26T00:00:00"/>
    <s v="Referral - Personal"/>
    <s v="Votorantim, BR"/>
    <s v="14"/>
    <s v="3"/>
    <s v="Referral"/>
    <s v="New Business"/>
    <s v="03/2026"/>
    <n v="125"/>
  </r>
  <r>
    <s v="OPP-10189"/>
    <s v="ACC-1020"/>
    <x v="63"/>
    <s v="Nicolas Teixeira"/>
    <s v="Zucchini Logistics - DDM - Data - Automation - 03/2026"/>
    <s v="Project - Not Competitive"/>
    <x v="2"/>
    <n v="264500"/>
    <s v="BRL"/>
    <n v="264500"/>
    <s v="BRL"/>
    <s v="DDM - Data - Automation"/>
    <d v="2026-03-30T00:00:00"/>
    <d v="2026-03-19T00:00:00"/>
    <s v="Referral - Internal"/>
    <s v="São Carlos, BR"/>
    <s v="15"/>
    <s v="5"/>
    <s v="Referral"/>
    <s v="New Business"/>
    <s v="03/2026"/>
    <n v="11"/>
  </r>
  <r>
    <s v="OPP-10184"/>
    <s v="ACC-1121"/>
    <x v="64"/>
    <s v="Lucas Almeida"/>
    <s v="Company 120 - DDM - Data - Consulting - 05/2026"/>
    <s v="Project - Not Competitive"/>
    <x v="6"/>
    <n v="427005.1"/>
    <s v="BRL"/>
    <n v="427005.1"/>
    <s v="BRL"/>
    <s v="DDM - Data - Consulting"/>
    <d v="2026-05-25T00:00:00"/>
    <d v="2026-03-16T00:00:00"/>
    <s v="Referral - Internal"/>
    <s v="São Paulo, BR"/>
    <s v="15"/>
    <s v="8"/>
    <s v="Referral"/>
    <s v="New Business"/>
    <s v="05/2026"/>
    <s v=""/>
  </r>
  <r>
    <s v="OPP-10074"/>
    <s v="ACC-1059"/>
    <x v="65"/>
    <s v="Amanda Rios"/>
    <s v="Basalt Mining - DDM - Data - Services &amp; Tech - Platforms Reselling - 04/2026"/>
    <s v="Flex/Renewal"/>
    <x v="0"/>
    <n v="1545188.16"/>
    <s v="BRL"/>
    <n v="1545188.16"/>
    <s v="BRL"/>
    <s v="DDM - Data - Services &amp; Tech - Platforms Reselling"/>
    <d v="2026-04-30T00:00:00"/>
    <d v="2025-12-18T00:00:00"/>
    <s v="Inbound - Current Client (DEPRECATED)"/>
    <s v="São Paulo, BR"/>
    <s v="35"/>
    <s v="12"/>
    <s v="Customer Success"/>
    <s v="Upsell"/>
    <s v="04/2026"/>
    <s v=""/>
  </r>
  <r>
    <s v="OPP-10129"/>
    <s v="ACC-1113"/>
    <x v="66"/>
    <s v="Diego Rocha"/>
    <s v="Company 112 - DDM - Data - Services &amp; Tech - Platforms Reselling - 02/2026"/>
    <s v="Project - Not Competitive"/>
    <x v="2"/>
    <n v="32400"/>
    <s v="BRL"/>
    <n v="32400"/>
    <s v="BRL"/>
    <s v="DDM - Data - Services &amp; Tech - Platforms Reselling"/>
    <d v="2026-02-24T00:00:00"/>
    <d v="2026-11-02T00:00:00"/>
    <s v="Inbound - Website - Media.Monks (DEPRECATED)"/>
    <s v="São Paulo, BR"/>
    <s v="49"/>
    <s v="12"/>
    <s v="Inbound"/>
    <s v="New Business"/>
    <s v="02/2026"/>
    <s v=""/>
  </r>
  <r>
    <s v="OPP-10260"/>
    <s v="ACC-1060"/>
    <x v="67"/>
    <s v="Pedro Martins"/>
    <s v="Fennel Footwear - DDM - Data - Services &amp; Tech - Platforms Reselling - 05/2026"/>
    <s v="Flex/Renewal"/>
    <x v="0"/>
    <n v="57011.76"/>
    <s v="BRL"/>
    <n v="57011.76"/>
    <s v="BRL"/>
    <s v="DDM - Data - Services &amp; Tech - Platforms Reselling"/>
    <d v="2026-05-14T00:00:00"/>
    <d v="2026-04-14T00:00:00"/>
    <s v="Existing Client - Account/Growth Activity"/>
    <s v="São Paulo, BR"/>
    <s v="0"/>
    <s v="12"/>
    <s v="Customer Success"/>
    <s v="Upsell"/>
    <s v="05/2026"/>
    <s v=""/>
  </r>
  <r>
    <s v="OPP-10229"/>
    <s v="ACC-1051"/>
    <x v="20"/>
    <s v="Karina Oliveira"/>
    <s v="Pyrite Fintech - DDM - Data - Services &amp; Tech - Platforms Reselling - 04/2026"/>
    <s v="Flex/Renewal"/>
    <x v="0"/>
    <n v="220278.24"/>
    <s v="BRL"/>
    <n v="220278.24"/>
    <s v="BRL"/>
    <s v="DDM - Data - Services &amp; Tech - Platforms Reselling"/>
    <d v="2026-04-30T00:00:00"/>
    <d v="2026-06-04T00:00:00"/>
    <s v="MH Lead (DEPRECATED)"/>
    <s v="São Paulo, BR"/>
    <s v="8"/>
    <s v="12"/>
    <s v="Unknown"/>
    <s v="Upsell"/>
    <s v="04/2026"/>
    <s v=""/>
  </r>
  <r>
    <s v="OPP-10251"/>
    <s v="ACC-1097"/>
    <x v="68"/>
    <s v="Joao Pereira"/>
    <s v="Quince Pharma - DDM - Data - Services &amp; Tech - Platforms Reselling - 06/2026"/>
    <s v="Project - Competitive"/>
    <x v="1"/>
    <n v="148800"/>
    <s v="BRL"/>
    <n v="148800"/>
    <s v="BRL"/>
    <s v="DDM - Data - Services &amp; Tech - Platforms Reselling"/>
    <d v="2026-01-06T00:00:00"/>
    <d v="2026-10-04T00:00:00"/>
    <s v="Referral - Personal"/>
    <s v="São Paulo, BR"/>
    <s v="1"/>
    <s v="12"/>
    <s v="Referral"/>
    <s v="New Business"/>
    <s v="01/2026"/>
    <s v=""/>
  </r>
  <r>
    <s v="OPP-10016"/>
    <s v="ACC-1086"/>
    <x v="69"/>
    <s v="Joao Pereira"/>
    <s v="Sable Footwear - DDM - Data - Services &amp; Tech - Platforms Reselling - 02/2026"/>
    <s v="Project - Competitive"/>
    <x v="2"/>
    <n v="732596.04"/>
    <s v="BRL"/>
    <n v="732596.04"/>
    <s v="BRL"/>
    <s v="DDM - Data - Services &amp; Tech - Platforms Reselling"/>
    <d v="2026-02-23T00:00:00"/>
    <d v="2025-09-24T00:00:00"/>
    <s v="Inbound - Website - Media.Monks (DEPRECATED)"/>
    <s v="São Paulo, BR"/>
    <s v="50"/>
    <s v="12"/>
    <s v="Inbound"/>
    <s v="New Business"/>
    <s v="02/2026"/>
    <n v="152"/>
  </r>
  <r>
    <s v="OPP-10130"/>
    <s v="ACC-1089"/>
    <x v="59"/>
    <s v="Karina Oliveira"/>
    <s v="Sage Streaming - DDM - Data - Services &amp; Tech - Platforms Reselling - 04/2026"/>
    <s v="Change Order/Upsell"/>
    <x v="4"/>
    <n v="68000"/>
    <s v="BRL"/>
    <n v="68000"/>
    <s v="BRL"/>
    <s v="DDM - Data - Services &amp; Tech - Platforms Reselling"/>
    <d v="2026-04-30T00:00:00"/>
    <d v="2026-12-02T00:00:00"/>
    <s v="Inbound - Current Client (DEPRECATED)"/>
    <s v="São Paulo, BR"/>
    <s v="4"/>
    <s v="12"/>
    <s v="Customer Success"/>
    <s v="Upsell"/>
    <s v="04/2026"/>
    <s v=""/>
  </r>
  <r>
    <s v="OPP-10112"/>
    <s v="ACC-1042"/>
    <x v="70"/>
    <s v="Amanda Rios"/>
    <s v="Wisteria Publishing - DDM - Data - Services &amp; Tech - Platforms Reselling - 02/2026"/>
    <s v="Flex/Renewal"/>
    <x v="2"/>
    <n v="664386.76"/>
    <s v="BRL"/>
    <n v="664386.76"/>
    <s v="BRL"/>
    <s v="DDM - Data - Services &amp; Tech - Platforms Reselling"/>
    <d v="2026-02-26T00:00:00"/>
    <d v="2026-01-29T00:00:00"/>
    <s v="Inbound - Current Client (DEPRECATED)"/>
    <s v="São Paulo, BR"/>
    <s v="47"/>
    <s v="12"/>
    <s v="Customer Success"/>
    <s v="Upsell"/>
    <s v="02/2026"/>
    <n v="28"/>
  </r>
  <r>
    <s v="OPP-10188"/>
    <s v="ACC-1032"/>
    <x v="71"/>
    <s v="Amanda Rios"/>
    <s v="Zedoary Chemicals - DDM - Data - Services &amp; Tech - Platforms Reselling - 05/2026"/>
    <s v="Flex/Renewal"/>
    <x v="1"/>
    <n v="205277.88"/>
    <s v="BRL"/>
    <n v="205277.88"/>
    <s v="BRL"/>
    <s v="DDM - Data - Services &amp; Tech - Platforms Reselling"/>
    <d v="2026-05-31T00:00:00"/>
    <d v="2026-03-19T00:00:00"/>
    <s v="Inbound - Current Client (DEPRECATED)"/>
    <s v="São Paulo, BR"/>
    <s v="4"/>
    <s v="12"/>
    <s v="Customer Success"/>
    <s v="Upsell"/>
    <s v="05/2026"/>
    <s v=""/>
  </r>
  <r>
    <s v="OPP-10150"/>
    <s v="ACC-1037"/>
    <x v="0"/>
    <s v="Bruno Costa"/>
    <s v="Acacia Telecom - DDM - Media - Creative - 03/2026"/>
    <s v="Change Order/Upsell"/>
    <x v="0"/>
    <n v="601599.48"/>
    <s v="BRL"/>
    <n v="31909.8"/>
    <s v="BRL"/>
    <s v="DDM - Data - Services &amp; Tech - Services (Analytics &amp; Support)"/>
    <d v="2026-04-30T00:00:00"/>
    <d v="2026-02-26T00:00:00"/>
    <s v="Inbound - Current Client (DEPRECATED)"/>
    <s v="São Carlos, BR"/>
    <s v="42"/>
    <s v="12"/>
    <s v="Customer Success"/>
    <s v="Upsell"/>
    <s v="04/2026"/>
    <s v=""/>
  </r>
  <r>
    <s v="OPP-10175"/>
    <s v="ACC-1007"/>
    <x v="72"/>
    <s v="Daniel Moura"/>
    <s v="Anise Beauty - DDM - Data - Services &amp; Tech - Services (Analytics &amp; Support) - 05/2026"/>
    <s v="Change Order/Upsell"/>
    <x v="3"/>
    <n v="1302107.45"/>
    <s v="BRL"/>
    <n v="265621.21000000002"/>
    <s v="BRL"/>
    <s v="DDM - Data - Services &amp; Tech - Services (Analytics &amp; Support)"/>
    <d v="2026-05-31T00:00:00"/>
    <d v="2026-11-03T00:00:00"/>
    <s v="Don't Know/Other (DEPRECATED)"/>
    <s v="Votorantim, BR"/>
    <s v="15"/>
    <s v="12"/>
    <s v="Unknown"/>
    <s v="Upsell"/>
    <s v="05/2026"/>
    <s v=""/>
  </r>
  <r>
    <s v="OPP-10134"/>
    <s v="ACC-1064"/>
    <x v="1"/>
    <s v="Daniel Moura"/>
    <s v="Arrow Construction - DDM - Media - Managed Media (AOR) - 05/2026"/>
    <s v="Change Order/Upsell"/>
    <x v="1"/>
    <n v="1429074.08"/>
    <s v="BRL"/>
    <n v="451225.8"/>
    <s v="BRL"/>
    <s v="DDM - Data - Services &amp; Tech - Services (Analytics &amp; Support)"/>
    <d v="2026-05-29T00:00:00"/>
    <d v="2026-02-13T00:00:00"/>
    <s v="Inbound - Current Client (DEPRECATED)"/>
    <s v="São Carlos, BR"/>
    <s v="33"/>
    <s v="12"/>
    <s v="Customer Success"/>
    <s v="Upsell"/>
    <s v="05/2026"/>
    <s v=""/>
  </r>
  <r>
    <s v="OPP-10040"/>
    <s v="ACC-1059"/>
    <x v="65"/>
    <s v="Amanda Rios"/>
    <s v="Basalt Mining - DDM - Data - Services &amp; Tech - Services (Analytics &amp; Support) - 01/2026"/>
    <s v="Flex/Renewal"/>
    <x v="2"/>
    <n v="253579.55"/>
    <s v="BRL"/>
    <n v="152442.06"/>
    <s v="BRL"/>
    <s v="DDM - Data - Services &amp; Tech - Services (Analytics &amp; Support)"/>
    <d v="2026-01-31T00:00:00"/>
    <d v="2025-11-14T00:00:00"/>
    <s v="Inbound - Current Client (DEPRECATED)"/>
    <s v="São Carlos, BR"/>
    <s v="69"/>
    <s v="1"/>
    <s v="Customer Success"/>
    <s v="Upsell"/>
    <s v="01/2026"/>
    <n v="78"/>
  </r>
  <r>
    <s v="OPP-10090"/>
    <s v="ACC-1059"/>
    <x v="65"/>
    <s v="Amanda Rios"/>
    <s v="Basalt Mining - DDM - Data - Services &amp; Tech - Services (Analytics &amp; Support) - 05/2026"/>
    <s v="Flex/Renewal"/>
    <x v="3"/>
    <n v="2132708.1"/>
    <s v="BRL"/>
    <n v="1829304.72"/>
    <s v="BRL"/>
    <s v="DDM - Data - Services &amp; Tech - Services (Analytics &amp; Support)"/>
    <d v="2026-05-31T00:00:00"/>
    <d v="2026-12-01T00:00:00"/>
    <s v="Inbound - Current Client (DEPRECATED)"/>
    <s v="São Carlos, BR"/>
    <s v="8"/>
    <s v="12"/>
    <s v="Customer Success"/>
    <s v="Upsell"/>
    <s v="05/2026"/>
    <s v=""/>
  </r>
  <r>
    <s v="OPP-10110"/>
    <s v="ACC-1062"/>
    <x v="3"/>
    <s v="Daniel Moura"/>
    <s v="Cedar Foods - DDM - Data - Services &amp; Tech - Services (Analytics &amp; Support) - 06/2026"/>
    <s v="Change Order/Upsell"/>
    <x v="1"/>
    <n v="4565828.57"/>
    <s v="BRL"/>
    <n v="629262.96"/>
    <s v="BRL"/>
    <s v="DDM - Data - Services &amp; Tech - Services (Analytics &amp; Support)"/>
    <d v="2026-06-30T00:00:00"/>
    <d v="2026-01-26T00:00:00"/>
    <s v="Inbound - Current Client (DEPRECATED)"/>
    <s v="Votorantim, BR"/>
    <s v="33"/>
    <s v="12"/>
    <s v="Customer Success"/>
    <s v="Upsell"/>
    <s v="06/2026"/>
    <s v=""/>
  </r>
  <r>
    <s v="OPP-10154"/>
    <s v="ACC-1119"/>
    <x v="6"/>
    <s v="Wanda Borges"/>
    <s v="Company 118 - DDM - Data - Services &amp; Tech - Services (Analytics &amp; Support) - 05/2026"/>
    <s v="Project - Competitive"/>
    <x v="1"/>
    <n v="2344909.7999999998"/>
    <s v="BRL"/>
    <n v="189158.04"/>
    <s v="BRL"/>
    <s v="DDM - Data - Services &amp; Tech - Services (Analytics &amp; Support)"/>
    <d v="2026-05-29T00:00:00"/>
    <d v="2026-02-27T00:00:00"/>
    <s v="Inbound - Website - Media.Monks (DEPRECATED)"/>
    <s v="Votorantim, BR"/>
    <s v="15"/>
    <s v="12"/>
    <s v="Inbound"/>
    <s v="New Business"/>
    <s v="05/2026"/>
    <s v=""/>
  </r>
  <r>
    <s v="OPP-10173"/>
    <s v="ACC-1120"/>
    <x v="73"/>
    <s v="Felipe Lima"/>
    <s v="Company 119 - DDM - Data - Services &amp; Tech - Services (Analytics &amp; Support) - 05/2026"/>
    <s v="Project - Competitive"/>
    <x v="1"/>
    <n v="894521"/>
    <s v="BRL"/>
    <n v="43952"/>
    <s v="BRL"/>
    <s v="DDM - Data - Services &amp; Tech - Services (Analytics &amp; Support)"/>
    <d v="2026-04-05T00:00:00"/>
    <d v="2026-11-03T00:00:00"/>
    <s v="Inbound - Website - Media.Monks (DEPRECATED)"/>
    <s v="São Carlos, BR"/>
    <s v="25"/>
    <s v="12"/>
    <s v="Inbound"/>
    <s v="New Business"/>
    <s v="04/2026"/>
    <s v=""/>
  </r>
  <r>
    <s v="OPP-10231"/>
    <s v="ACC-1122"/>
    <x v="33"/>
    <s v="Joao Pereira"/>
    <s v="Company 121 - Content - Platform - Website Creation &amp; Production - 05/2026"/>
    <s v="Project - Competitive"/>
    <x v="1"/>
    <n v="374000"/>
    <s v="BRL"/>
    <n v="20000"/>
    <s v="BRL"/>
    <s v="DDM - Data - Services &amp; Tech - Services (Analytics &amp; Support)"/>
    <d v="2026-08-05T00:00:00"/>
    <d v="2026-08-04T00:00:00"/>
    <s v="Referral - Personal"/>
    <s v="São Carlos, BR"/>
    <s v="4"/>
    <s v="12"/>
    <s v="Referral"/>
    <s v="New Business"/>
    <s v="08/2026"/>
    <s v=""/>
  </r>
  <r>
    <s v="OPP-10255"/>
    <s v="ACC-1128"/>
    <x v="41"/>
    <s v="Felipe Lima"/>
    <s v="Company 127 - DDM - Data - Services &amp; Tech - Services (Analytics &amp; Support) - 05/2026"/>
    <s v="Project - Competitive"/>
    <x v="5"/>
    <n v="0"/>
    <s v="BRL"/>
    <n v="0"/>
    <s v="BRL"/>
    <s v="DDM - Data - Services &amp; Tech - Services (Analytics &amp; Support)"/>
    <d v="2026-05-13T00:00:00"/>
    <d v="2026-04-13T00:00:00"/>
    <s v="Referral - Internal"/>
    <s v="São Carlos, BR"/>
    <s v="1"/>
    <m/>
    <s v="Referral"/>
    <s v="New Business"/>
    <s v="05/2026"/>
    <s v=""/>
  </r>
  <r>
    <s v="OPP-10004"/>
    <s v="ACC-1035"/>
    <x v="74"/>
    <s v="Bernardo Castro"/>
    <s v="Copper Air - DDM - Data - Services &amp; Tech - Services (Analytics &amp; Support) - 01/2026"/>
    <s v="Change Order/Upsell"/>
    <x v="2"/>
    <n v="32226.34"/>
    <s v="BRL"/>
    <n v="32226.34"/>
    <s v="BRL"/>
    <s v="DDM - Data - Services &amp; Tech - Services (Analytics &amp; Support)"/>
    <d v="2026-01-14T00:00:00"/>
    <d v="2025-08-08T00:00:00"/>
    <s v="Inbound - Current Client (DEPRECATED)"/>
    <s v="Votorantim, BR"/>
    <s v="90"/>
    <s v="2"/>
    <s v="Customer Success"/>
    <s v="Upsell"/>
    <s v="01/2026"/>
    <n v="159"/>
  </r>
  <r>
    <s v="OPP-10038"/>
    <s v="ACC-1046"/>
    <x v="75"/>
    <s v="Wanda Borges"/>
    <s v="Cypress Air - DDM - Data - Services &amp; Tech - Services (Analytics &amp; Support) - 02/2026"/>
    <s v="Project - Competitive"/>
    <x v="2"/>
    <n v="589446.40999999992"/>
    <s v="BRL"/>
    <n v="41309.81"/>
    <s v="BRL"/>
    <s v="DDM - Data - Services &amp; Tech - Services (Analytics &amp; Support)"/>
    <d v="2026-02-27T00:00:00"/>
    <d v="2025-11-11T00:00:00"/>
    <s v="Inbound - Marketing (DEPRECATED)"/>
    <s v="Votorantim, BR"/>
    <s v="46"/>
    <s v="12"/>
    <s v="Inbound"/>
    <s v="New Business"/>
    <s v="02/2026"/>
    <n v="108"/>
  </r>
  <r>
    <s v="OPP-10147"/>
    <s v="ACC-1008"/>
    <x v="76"/>
    <s v="Lucas Almeida"/>
    <s v="Dogwood Pharma - DDM - Data - Services &amp; Tech - Services (Analytics &amp; Support) - 05/2026"/>
    <s v="Project - Competitive"/>
    <x v="3"/>
    <n v="1000704"/>
    <s v="BRL"/>
    <n v="433188"/>
    <s v="BRL"/>
    <s v="DDM - Data - Services &amp; Tech - Services (Analytics &amp; Support)"/>
    <d v="2026-04-05T00:00:00"/>
    <d v="2026-02-23T00:00:00"/>
    <s v="Prospecting - Current Client (DEPRECATED)"/>
    <s v="São Carlos, BR"/>
    <s v="50"/>
    <s v="12"/>
    <s v="Customer Success"/>
    <s v="New Business"/>
    <s v="04/2026"/>
    <s v=""/>
  </r>
  <r>
    <s v="OPP-10147"/>
    <s v="ACC-1008"/>
    <x v="76"/>
    <s v="Lucas Almeida"/>
    <s v="Dogwood Pharma - DDM - Data - Services &amp; Tech - Services (Analytics &amp; Support) - 05/2026"/>
    <s v="Project - Competitive"/>
    <x v="3"/>
    <n v="1000704"/>
    <s v="BRL"/>
    <n v="567516"/>
    <s v="BRL"/>
    <s v="DDM - Data - Services &amp; Tech - Services (Analytics &amp; Support)"/>
    <d v="2026-04-05T00:00:00"/>
    <d v="2026-02-23T00:00:00"/>
    <s v="Prospecting - Current Client (DEPRECATED)"/>
    <s v="São Carlos, BR"/>
    <s v="50"/>
    <s v="12"/>
    <s v="Customer Success"/>
    <s v="New Business"/>
    <s v="04/2026"/>
    <s v=""/>
  </r>
  <r>
    <s v="OPP-10071"/>
    <s v="ACC-1050"/>
    <x v="7"/>
    <s v="Queila Ribeiro"/>
    <s v="Dune Ecommerce - DDM - Data - Services &amp; Tech - Services (Analytics &amp; Support) - 03/2026"/>
    <s v="Change Order/Upsell"/>
    <x v="2"/>
    <n v="1818447"/>
    <s v="BRL"/>
    <n v="76079.89"/>
    <s v="BRL"/>
    <s v="DDM - Data - Services &amp; Tech - Services (Analytics &amp; Support)"/>
    <d v="2026-03-24T00:00:00"/>
    <d v="2025-12-15T00:00:00"/>
    <s v="Inbound - Current Client (DEPRECATED)"/>
    <s v="São Carlos, BR"/>
    <s v="21"/>
    <s v="8"/>
    <s v="Customer Success"/>
    <s v="Upsell"/>
    <s v="03/2026"/>
    <n v="99"/>
  </r>
  <r>
    <s v="OPP-10183"/>
    <s v="ACC-1050"/>
    <x v="7"/>
    <s v="Queila Ribeiro"/>
    <s v="Dune Ecommerce - Content - Platform - Website Creation &amp; Production - 05/2026"/>
    <s v="Change Order/Upsell"/>
    <x v="3"/>
    <n v="296000"/>
    <s v="BRL"/>
    <n v="20000"/>
    <s v="BRL"/>
    <s v="DDM - Data - Services &amp; Tech - Services (Analytics &amp; Support)"/>
    <d v="2026-05-31T00:00:00"/>
    <d v="2026-03-14T00:00:00"/>
    <s v="Inbound - Current Client (DEPRECATED)"/>
    <s v="São Carlos, BR"/>
    <s v="13"/>
    <s v="6"/>
    <s v="Customer Success"/>
    <s v="Upsell"/>
    <s v="05/2026"/>
    <s v=""/>
  </r>
  <r>
    <s v="OPP-10052"/>
    <s v="ACC-1016"/>
    <x v="77"/>
    <s v="Pedro Martins"/>
    <s v="Elm Realty - DDM - Data - Services &amp; Tech - Services (Analytics &amp; Support) - 03/2026"/>
    <s v="Flex/Renewal"/>
    <x v="2"/>
    <n v="517703.16"/>
    <s v="BRL"/>
    <n v="96838.56"/>
    <s v="BRL"/>
    <s v="DDM - Data - Services &amp; Tech - Services (Analytics &amp; Support)"/>
    <d v="2026-03-23T00:00:00"/>
    <d v="2025-11-27T00:00:00"/>
    <s v="MH Lead (DEPRECATED)"/>
    <s v="Votorantim, BR"/>
    <s v="22"/>
    <s v="12"/>
    <s v="Unknown"/>
    <s v="Upsell"/>
    <s v="03/2026"/>
    <n v="116"/>
  </r>
  <r>
    <s v="OPP-10191"/>
    <s v="ACC-1016"/>
    <x v="77"/>
    <s v="Pedro Martins"/>
    <s v="Elm Realty - DDM - Media - Managed Media (AOR) - 03/2026"/>
    <s v="Flex/Renewal"/>
    <x v="2"/>
    <n v="486654.96"/>
    <s v="BRL"/>
    <n v="96850.32"/>
    <s v="BRL"/>
    <s v="DDM - Data - Services &amp; Tech - Services (Analytics &amp; Support)"/>
    <d v="2026-03-20T00:00:00"/>
    <d v="2026-03-20T00:00:00"/>
    <s v="Inbound - Current Client (DEPRECATED)"/>
    <s v="Votorantim, BR"/>
    <s v="25"/>
    <s v="12"/>
    <s v="Customer Success"/>
    <s v="Upsell"/>
    <s v="03/2026"/>
    <s v=""/>
  </r>
  <r>
    <s v="OPP-10083"/>
    <s v="ACC-1016"/>
    <x v="77"/>
    <s v="Pedro Martins"/>
    <s v="Elm Realty - DDM - Media - Managed Media (AOR) - 03/2026"/>
    <s v="Change Order/Upsell"/>
    <x v="2"/>
    <n v="7943.76"/>
    <s v="BRL"/>
    <n v="7943.76"/>
    <s v="BRL"/>
    <s v="DDM - Data - Services &amp; Tech - Services (Analytics &amp; Support)"/>
    <d v="2026-03-20T00:00:00"/>
    <d v="2025-12-23T00:00:00"/>
    <s v="Inbound - Current Client (DEPRECATED)"/>
    <s v="Votorantim, BR"/>
    <s v="25"/>
    <s v="12"/>
    <s v="Customer Success"/>
    <s v="Upsell"/>
    <s v="03/2026"/>
    <n v="87"/>
  </r>
  <r>
    <s v="OPP-10029"/>
    <s v="ACC-1022"/>
    <x v="8"/>
    <s v="Sofia Guimaraes"/>
    <s v="Ember Hospitality - DDM - Data - Services &amp; Tech - Services (Analytics &amp; Support) - 04/2026"/>
    <s v="Change Order/Upsell"/>
    <x v="2"/>
    <n v="1653085.7999999998"/>
    <s v="BRL"/>
    <n v="359170.32"/>
    <s v="BRL"/>
    <s v="DDM - Data - Services &amp; Tech - Services (Analytics &amp; Support)"/>
    <d v="2026-04-13T00:00:00"/>
    <d v="2025-10-24T00:00:00"/>
    <s v="Inbound - Current Client (DEPRECATED)"/>
    <s v="São Carlos, BR"/>
    <s v="1"/>
    <s v="10"/>
    <s v="Customer Success"/>
    <s v="Upsell"/>
    <s v="04/2026"/>
    <n v="171"/>
  </r>
  <r>
    <s v="OPP-10097"/>
    <s v="ACC-1014"/>
    <x v="78"/>
    <s v="Lucas Almeida"/>
    <s v="Fern Agriculture - DDM - Data - Services &amp; Tech - Services (Analytics &amp; Support) - 04/2026"/>
    <s v="Project - Not Competitive"/>
    <x v="0"/>
    <n v="1410000"/>
    <s v="BRL"/>
    <n v="234000"/>
    <s v="BRL"/>
    <s v="DDM - Data - Services &amp; Tech - Services (Analytics &amp; Support)"/>
    <d v="2026-04-13T00:00:00"/>
    <d v="2026-01-16T00:00:00"/>
    <s v="Inbound - Website - Media.Monks (DEPRECATED)"/>
    <s v="Votorantim, BR"/>
    <s v="21"/>
    <s v="12"/>
    <s v="Inbound"/>
    <s v="New Business"/>
    <s v="04/2026"/>
    <s v=""/>
  </r>
  <r>
    <s v="OPP-10176"/>
    <s v="ACC-1102"/>
    <x v="79"/>
    <s v="Daniel Moura"/>
    <s v="Fjord Travel - DDM - Data - Services &amp; Tech - Services (Analytics &amp; Support) - 05/2026"/>
    <s v="Change Order/Upsell"/>
    <x v="3"/>
    <n v="585915.63"/>
    <s v="BRL"/>
    <n v="119522.87"/>
    <s v="BRL"/>
    <s v="DDM - Data - Services &amp; Tech - Services (Analytics &amp; Support)"/>
    <d v="2026-05-31T00:00:00"/>
    <d v="2026-11-03T00:00:00"/>
    <s v="Don't Know/Other (DEPRECATED)"/>
    <s v="Votorantim, BR"/>
    <s v="15"/>
    <s v="12"/>
    <s v="Unknown"/>
    <s v="Upsell"/>
    <s v="05/2026"/>
    <s v=""/>
  </r>
  <r>
    <s v="OPP-10061"/>
    <s v="ACC-1004"/>
    <x v="51"/>
    <s v="Carla Mendes"/>
    <s v="Harbor Grocers - DDM - Data - Services &amp; Tech - Services (Analytics &amp; Support) - 01/2026"/>
    <s v="Change Order/Upsell"/>
    <x v="2"/>
    <n v="358921.88"/>
    <s v="BRL"/>
    <n v="53600"/>
    <s v="BRL"/>
    <s v="DDM - Data - Services &amp; Tech - Services (Analytics &amp; Support)"/>
    <d v="2026-01-14T00:00:00"/>
    <d v="2025-04-12T00:00:00"/>
    <s v="Inbound - Current Client (DEPRECATED)"/>
    <s v="São Carlos, BR"/>
    <s v="90"/>
    <s v="12"/>
    <s v="Customer Success"/>
    <s v="Upsell"/>
    <s v="01/2026"/>
    <n v="277"/>
  </r>
  <r>
    <s v="OPP-10066"/>
    <s v="ACC-1049"/>
    <x v="42"/>
    <s v="Bernardo Castro"/>
    <s v="Hazel Construction - Content - Social - AOR - 02/2026"/>
    <s v="Flex/Renewal"/>
    <x v="2"/>
    <n v="1546078.56"/>
    <s v="BRL"/>
    <n v="183485.76"/>
    <s v="BRL"/>
    <s v="DDM - Data - Services &amp; Tech - Services (Analytics &amp; Support)"/>
    <d v="2026-12-03T00:00:00"/>
    <d v="2025-08-12T00:00:00"/>
    <s v="Inbound - Current Client (DEPRECATED)"/>
    <s v="São Carlos, BR"/>
    <s v="33"/>
    <s v="12"/>
    <s v="Customer Success"/>
    <s v="Upsell"/>
    <s v="12/2026"/>
    <n v="478"/>
  </r>
  <r>
    <s v="OPP-10060"/>
    <s v="ACC-1005"/>
    <x v="80"/>
    <s v="Lucas Almeida"/>
    <s v="Helios Tech - DDM - Data - Services &amp; Tech - Services (Analytics &amp; Support) - 04/2026"/>
    <s v="Project - Competitive"/>
    <x v="0"/>
    <n v="993642.36"/>
    <s v="BRL"/>
    <n v="57000"/>
    <s v="BRL"/>
    <s v="DDM - Data - Services &amp; Tech - Services (Analytics &amp; Support)"/>
    <d v="2026-10-04T00:00:00"/>
    <d v="2025-03-12T00:00:00"/>
    <s v="Don't Know/Other (DEPRECATED)"/>
    <s v="Votorantim, BR"/>
    <s v="21"/>
    <s v="12"/>
    <s v="Unknown"/>
    <s v="New Business"/>
    <s v="10/2026"/>
    <s v=""/>
  </r>
  <r>
    <s v="OPP-10178"/>
    <s v="ACC-1053"/>
    <x v="9"/>
    <s v="Bernardo Castro"/>
    <s v="Hemlock Insurance - DDM - Media - Activation - Platforms Reselling - 04/2026"/>
    <s v="Change Order/Upsell"/>
    <x v="1"/>
    <n v="3363176.34"/>
    <s v="BRL"/>
    <n v="3363176.34"/>
    <s v="BRL"/>
    <s v="DDM - Data - Services &amp; Tech - Services (Analytics &amp; Support)"/>
    <d v="2026-06-30T00:00:00"/>
    <d v="2026-12-03T00:00:00"/>
    <s v="Inbound - Current Client (DEPRECATED)"/>
    <s v="São Carlos, BR"/>
    <s v="29"/>
    <s v="12"/>
    <s v="Customer Success"/>
    <s v="Upsell"/>
    <s v="06/2026"/>
    <s v=""/>
  </r>
  <r>
    <s v="OPP-10168"/>
    <s v="ACC-1069"/>
    <x v="43"/>
    <s v="Bruno Costa"/>
    <s v="Honeysuckle Travel - DDM - Data - Services &amp; Tech - Services (Analytics &amp; Support) - 05/2026"/>
    <s v="Flex/Renewal"/>
    <x v="4"/>
    <n v="809225.34"/>
    <s v="BRL"/>
    <n v="109005.84"/>
    <s v="BRL"/>
    <s v="DDM - Data - Services &amp; Tech - Services (Analytics &amp; Support)"/>
    <d v="2026-05-31T00:00:00"/>
    <d v="2026-06-03T00:00:00"/>
    <s v="Inbound - Current Client (DEPRECATED)"/>
    <s v="São Carlos, BR"/>
    <s v="18"/>
    <s v="6"/>
    <s v="Customer Success"/>
    <s v="Upsell"/>
    <s v="05/2026"/>
    <s v=""/>
  </r>
  <r>
    <s v="OPP-10068"/>
    <s v="ACC-1023"/>
    <x v="10"/>
    <s v="Amanda Rios"/>
    <s v="Iris Delivery - Content - Platform - Performance, SEO, CRM &amp; Loyalty - 03/2026"/>
    <s v="Change Order/Upsell"/>
    <x v="0"/>
    <n v="10992.1"/>
    <s v="BRL"/>
    <n v="10992.1"/>
    <s v="BRL"/>
    <s v="DDM - Data - Services &amp; Tech - Services (Analytics &amp; Support)"/>
    <d v="2026-04-29T00:00:00"/>
    <d v="2025-09-12T00:00:00"/>
    <s v="Inbound - Current Client (DEPRECATED)"/>
    <s v="Votorantim, BR"/>
    <s v="126"/>
    <s v="1"/>
    <s v="Customer Success"/>
    <s v="Upsell"/>
    <s v="04/2026"/>
    <s v=""/>
  </r>
  <r>
    <s v="OPP-10050"/>
    <s v="ACC-1045"/>
    <x v="11"/>
    <s v="Felipe Lima"/>
    <s v="Jasper Security - DDM - Data - Services &amp; Tech - Services (Analytics &amp; Support) - 05/2026"/>
    <s v="Project - Competitive"/>
    <x v="3"/>
    <n v="6208423.2000000002"/>
    <s v="BRL"/>
    <n v="412673.64"/>
    <s v="BRL"/>
    <s v="DDM - Data - Services &amp; Tech - Services (Analytics &amp; Support)"/>
    <d v="2026-05-13T00:00:00"/>
    <d v="2025-11-26T00:00:00"/>
    <s v="Referral - Internal"/>
    <s v="Votorantim, BR"/>
    <s v="64"/>
    <s v="12"/>
    <s v="Referral"/>
    <s v="New Business"/>
    <s v="05/2026"/>
    <s v=""/>
  </r>
  <r>
    <s v="OPP-10035"/>
    <s v="ACC-1010"/>
    <x v="12"/>
    <s v="Lucas Almeida"/>
    <s v="Juniper Data - DDM - Data - Services &amp; Tech - Services (Analytics &amp; Support) - 06/2026"/>
    <s v="Project - Competitive"/>
    <x v="3"/>
    <n v="286464"/>
    <s v="BRL"/>
    <n v="12000"/>
    <s v="BRL"/>
    <s v="DDM - Data - Services &amp; Tech - Services (Analytics &amp; Support)"/>
    <d v="2026-06-29T00:00:00"/>
    <d v="2025-03-11T00:00:00"/>
    <s v="Industry Event"/>
    <s v="São Carlos, BR"/>
    <s v="134"/>
    <s v="24"/>
    <s v="Event"/>
    <s v="New Business"/>
    <s v="06/2026"/>
    <s v=""/>
  </r>
  <r>
    <s v="OPP-10198"/>
    <s v="ACC-1066"/>
    <x v="15"/>
    <s v="Carla Mendes"/>
    <s v="Magnolia Retail - DDM - Data - Services &amp; Tech - Services (Analytics &amp; Support) - 04/2026"/>
    <s v="Flex/Renewal"/>
    <x v="0"/>
    <n v="74000"/>
    <s v="BRL"/>
    <n v="74000"/>
    <s v="BRL"/>
    <s v="DDM - Data - Services &amp; Tech - Services (Analytics &amp; Support)"/>
    <d v="2026-04-30T00:00:00"/>
    <d v="2026-03-26T00:00:00"/>
    <s v="Inbound - Current Client (DEPRECATED)"/>
    <s v="São Carlos, BR"/>
    <s v="13"/>
    <s v="6"/>
    <s v="Customer Success"/>
    <s v="Upsell"/>
    <s v="04/2026"/>
    <s v=""/>
  </r>
  <r>
    <s v="OPP-10058"/>
    <s v="ACC-1095"/>
    <x v="45"/>
    <s v="Yasmin Nogueira"/>
    <s v="Nimbus Media - DDM - Data - Services &amp; Tech - Services (Analytics &amp; Support) - 05/2026"/>
    <s v="Project - Competitive"/>
    <x v="3"/>
    <n v="2627267.83"/>
    <s v="BRL"/>
    <n v="21120.19"/>
    <s v="BRL"/>
    <s v="DDM - Data - Services &amp; Tech - Services (Analytics &amp; Support)"/>
    <d v="2026-11-05T00:00:00"/>
    <d v="2025-01-12T00:00:00"/>
    <s v="Referral - Personal"/>
    <s v="Votorantim, BR"/>
    <s v="54"/>
    <s v="12"/>
    <s v="Referral"/>
    <s v="New Business"/>
    <s v="11/2026"/>
    <s v=""/>
  </r>
  <r>
    <s v="OPP-10021"/>
    <s v="ACC-1031"/>
    <x v="17"/>
    <s v="Queila Ribeiro"/>
    <s v="Nova Studios - Content - Platform - Website Creation &amp; Production - 01/2026"/>
    <s v="Flex/Renewal"/>
    <x v="2"/>
    <n v="4551785.4000000004"/>
    <s v="BRL"/>
    <n v="956103.36"/>
    <s v="BRL"/>
    <s v="DDM - Data - Services &amp; Tech - Services (Analytics &amp; Support)"/>
    <d v="2026-03-18T00:00:00"/>
    <d v="2025-03-10T00:00:00"/>
    <s v="Inbound - Current Client (DEPRECATED)"/>
    <s v="São Carlos, BR"/>
    <s v="27"/>
    <s v="12"/>
    <s v="Customer Success"/>
    <s v="Upsell"/>
    <s v="03/2026"/>
    <n v="373"/>
  </r>
  <r>
    <s v="OPP-10021"/>
    <s v="ACC-1031"/>
    <x v="17"/>
    <s v="Queila Ribeiro"/>
    <s v="Nova Studios - DDM - Data - Services &amp; Tech - Services (Analytics &amp; Support) - 01/2026"/>
    <s v="Flex/Renewal"/>
    <x v="2"/>
    <n v="4551785.4000000004"/>
    <s v="BRL"/>
    <n v="804870.24"/>
    <s v="BRL"/>
    <s v="DDM - Data - Services &amp; Tech - Services (Analytics &amp; Support)"/>
    <d v="2026-03-18T00:00:00"/>
    <d v="2025-03-10T00:00:00"/>
    <s v="Inbound - Current Client (DEPRECATED)"/>
    <s v="São Carlos, BR"/>
    <s v="27"/>
    <s v="12"/>
    <s v="Customer Success"/>
    <s v="Upsell"/>
    <s v="03/2026"/>
    <n v="373"/>
  </r>
  <r>
    <s v="OPP-10021"/>
    <s v="ACC-1031"/>
    <x v="17"/>
    <s v="Queila Ribeiro"/>
    <s v="Nova Studios - DDM - Data - Services &amp; Tech - Services (Analytics &amp; Support) - 03/2026"/>
    <s v="Flex/Renewal"/>
    <x v="2"/>
    <n v="4551785.4000000004"/>
    <s v="BRL"/>
    <n v="2790811.8"/>
    <s v="BRL"/>
    <s v="DDM - Data - Services &amp; Tech - Services (Analytics &amp; Support)"/>
    <d v="2026-03-18T00:00:00"/>
    <d v="2025-03-10T00:00:00"/>
    <s v="Inbound - Current Client (DEPRECATED)"/>
    <s v="São Carlos, BR"/>
    <s v="27"/>
    <s v="12"/>
    <s v="Customer Success"/>
    <s v="Upsell"/>
    <s v="03/2026"/>
    <n v="373"/>
  </r>
  <r>
    <s v="OPP-10064"/>
    <s v="ACC-1031"/>
    <x v="17"/>
    <s v="Queila Ribeiro"/>
    <s v="Nova Studios - DDM - Media - Managed Media (AOR) - 04/2026"/>
    <s v="Flex/Renewal"/>
    <x v="0"/>
    <n v="4235159.34"/>
    <s v="BRL"/>
    <n v="210987.53"/>
    <s v="BRL"/>
    <s v="DDM - Data - Services &amp; Tech - Services (Analytics &amp; Support)"/>
    <d v="2026-04-17T00:00:00"/>
    <d v="2025-08-12T00:00:00"/>
    <s v="Inbound - Current Client (DEPRECATED)"/>
    <s v="São Carlos, BR"/>
    <s v="26"/>
    <s v="6"/>
    <s v="Customer Success"/>
    <s v="Upsell"/>
    <s v="04/2026"/>
    <s v=""/>
  </r>
  <r>
    <s v="OPP-10010"/>
    <s v="ACC-1031"/>
    <x v="17"/>
    <s v="Queila Ribeiro"/>
    <s v="Nova Studios -  - 05/2026"/>
    <s v="Change Order/Upsell"/>
    <x v="2"/>
    <n v="33442.82"/>
    <s v="BRL"/>
    <n v="33442.82"/>
    <s v="BRL"/>
    <s v="DDM - Data - Services &amp; Tech - Services (Analytics &amp; Support)"/>
    <d v="2026-08-01T00:00:00"/>
    <d v="2025-08-28T00:00:00"/>
    <s v="Inbound - Current Client (DEPRECATED)"/>
    <s v="São Carlos, BR"/>
    <s v="96"/>
    <s v="1"/>
    <s v="Customer Success"/>
    <s v="Upsell"/>
    <s v="08/2026"/>
    <n v="338"/>
  </r>
  <r>
    <s v="OPP-10044"/>
    <s v="ACC-1063"/>
    <x v="23"/>
    <s v="Ana Silva"/>
    <s v="Saffron Fashion - DDM - Data - Services &amp; Tech - Services (Analytics &amp; Support) - 01/2026"/>
    <s v="Change Order/Upsell"/>
    <x v="2"/>
    <n v="2518147.83"/>
    <s v="BRL"/>
    <n v="466000"/>
    <s v="BRL"/>
    <s v="DDM - Data - Services &amp; Tech - Services (Analytics &amp; Support)"/>
    <d v="2026-12-01T00:00:00"/>
    <d v="2025-11-14T00:00:00"/>
    <s v="Inbound - Current Client (DEPRECATED)"/>
    <s v="São Carlos, BR"/>
    <s v="92"/>
    <s v="12"/>
    <s v="Customer Success"/>
    <s v="Upsell"/>
    <s v="12/2026"/>
    <n v="382"/>
  </r>
  <r>
    <s v="OPP-10044"/>
    <s v="ACC-1063"/>
    <x v="23"/>
    <s v="Ana Silva"/>
    <s v="Saffron Fashion - DDM - Data - Services &amp; Tech - Services (Analytics &amp; Support) - 01/2026"/>
    <s v="Change Order/Upsell"/>
    <x v="2"/>
    <n v="2518147.83"/>
    <s v="BRL"/>
    <n v="180000"/>
    <s v="BRL"/>
    <s v="DDM - Data - Services &amp; Tech - Services (Analytics &amp; Support)"/>
    <d v="2026-12-01T00:00:00"/>
    <d v="2025-11-14T00:00:00"/>
    <s v="Inbound - Current Client (DEPRECATED)"/>
    <s v="São Carlos, BR"/>
    <s v="92"/>
    <s v="12"/>
    <s v="Customer Success"/>
    <s v="Upsell"/>
    <s v="12/2026"/>
    <n v="382"/>
  </r>
  <r>
    <s v="OPP-10017"/>
    <s v="ACC-1063"/>
    <x v="23"/>
    <s v="Ana Silva"/>
    <s v="Saffron Fashion - DDM - Media - Managed Media (AOR) - 01/2026"/>
    <s v="Change Order/Upsell"/>
    <x v="2"/>
    <n v="1157087.3999999999"/>
    <s v="BRL"/>
    <n v="230265"/>
    <s v="BRL"/>
    <s v="DDM - Data - Services &amp; Tech - Services (Analytics &amp; Support)"/>
    <d v="2026-05-01T00:00:00"/>
    <d v="2025-09-25T00:00:00"/>
    <s v="Inbound - Current Client (DEPRECATED)"/>
    <s v="São Carlos, BR"/>
    <s v="99"/>
    <s v="12"/>
    <s v="Customer Success"/>
    <s v="Upsell"/>
    <s v="05/2026"/>
    <n v="218"/>
  </r>
  <r>
    <s v="OPP-10072"/>
    <s v="ACC-1063"/>
    <x v="23"/>
    <s v="Ana Silva"/>
    <s v="Saffron Fashion - DDM - Media - Creative - 01/2026"/>
    <s v="Flex/Renewal"/>
    <x v="2"/>
    <n v="6770269.9100000001"/>
    <s v="BRL"/>
    <n v="1144634.99"/>
    <s v="BRL"/>
    <s v="DDM - Data - Services &amp; Tech - Services (Analytics &amp; Support)"/>
    <d v="2026-01-27T00:00:00"/>
    <d v="2025-12-15T00:00:00"/>
    <s v="Inbound - Current Client (DEPRECATED)"/>
    <s v="São Carlos, BR"/>
    <s v="77"/>
    <s v="12"/>
    <s v="Customer Success"/>
    <s v="Upsell"/>
    <s v="01/2026"/>
    <n v="43"/>
  </r>
  <r>
    <s v="OPP-10032"/>
    <s v="ACC-1063"/>
    <x v="23"/>
    <s v="Ana Silva"/>
    <s v="Saffron Fashion - DDM - Media - Managed Media (AOR) - 03/2026"/>
    <s v="Change Order/Upsell"/>
    <x v="2"/>
    <n v="722935.92"/>
    <s v="BRL"/>
    <n v="115132.8"/>
    <s v="BRL"/>
    <s v="DDM - Data - Services &amp; Tech - Services (Analytics &amp; Support)"/>
    <d v="2026-05-01T00:00:00"/>
    <d v="2025-10-29T00:00:00"/>
    <s v="Inbound - Current Client (DEPRECATED)"/>
    <s v="São Carlos, BR"/>
    <s v="99"/>
    <s v="12"/>
    <s v="Customer Success"/>
    <s v="Upsell"/>
    <s v="05/2026"/>
    <n v="184"/>
  </r>
  <r>
    <s v="OPP-10233"/>
    <s v="ACC-1063"/>
    <x v="23"/>
    <s v="Ana Silva"/>
    <s v="Saffron Fashion - DDM - Data - Services &amp; Tech - Services (Analytics &amp; Support) - 06/2026"/>
    <s v="Change Order/Upsell"/>
    <x v="6"/>
    <n v="0"/>
    <s v="BRL"/>
    <n v="0"/>
    <s v="BRL"/>
    <s v="DDM - Data - Services &amp; Tech - Services (Analytics &amp; Support)"/>
    <d v="2026-06-30T00:00:00"/>
    <d v="2026-09-04T00:00:00"/>
    <s v="MH Lead (DEPRECATED)"/>
    <s v="São Carlos, BR"/>
    <s v="5"/>
    <s v="12"/>
    <s v="Unknown"/>
    <s v="Upsell"/>
    <s v="06/2026"/>
    <s v=""/>
  </r>
  <r>
    <s v="OPP-10023"/>
    <s v="ACC-1038"/>
    <x v="81"/>
    <s v="Pedro Martins"/>
    <s v="Sumac Telecom - DDM - Data - Services &amp; Tech - Services (Analytics &amp; Support) - 03/2026"/>
    <s v="Flex/Renewal"/>
    <x v="2"/>
    <n v="1758176.04"/>
    <s v="BRL"/>
    <n v="194700"/>
    <s v="BRL"/>
    <s v="DDM - Data - Services &amp; Tech - Services (Analytics &amp; Support)"/>
    <d v="2026-09-03T00:00:00"/>
    <d v="2025-09-10T00:00:00"/>
    <s v="Inbound - Current Client (DEPRECATED)"/>
    <s v="Votorantim, BR"/>
    <s v="36"/>
    <s v="12"/>
    <s v="Customer Success"/>
    <s v="Upsell"/>
    <s v="09/2026"/>
    <n v="358"/>
  </r>
  <r>
    <s v="OPP-10128"/>
    <s v="ACC-1074"/>
    <x v="56"/>
    <s v="Wanda Borges"/>
    <s v="Tamarind Bank - DDM - Data - Services &amp; Tech - Services (Analytics &amp; Support) - 05/2026"/>
    <s v="Project - Competitive"/>
    <x v="1"/>
    <n v="863424.8"/>
    <s v="BRL"/>
    <n v="376021.9"/>
    <s v="BRL"/>
    <s v="DDM - Data - Services &amp; Tech - Services (Analytics &amp; Support)"/>
    <d v="2026-01-05T00:00:00"/>
    <d v="2026-11-02T00:00:00"/>
    <s v="Prospecting - Current Client (DEPRECATED)"/>
    <s v="São Carlos, BR"/>
    <s v="55"/>
    <s v="10"/>
    <s v="Customer Success"/>
    <s v="New Business"/>
    <s v="01/2026"/>
    <s v=""/>
  </r>
  <r>
    <s v="OPP-10243"/>
    <s v="ACC-1019"/>
    <x v="82"/>
    <s v="Amanda Rios"/>
    <s v="Thistle Tech - DDM - Data - Services &amp; Tech - Services (Analytics &amp; Support) - 01/2026"/>
    <s v="Change Order/Upsell"/>
    <x v="6"/>
    <n v="2163037.2000000002"/>
    <s v="BRL"/>
    <n v="2163037.2000000002"/>
    <s v="BRL"/>
    <s v="DDM - Data - Services &amp; Tech - Services (Analytics &amp; Support)"/>
    <d v="2026-06-30T00:00:00"/>
    <d v="2026-10-04T00:00:00"/>
    <s v="MH Lead (DEPRECATED)"/>
    <s v="São Carlos, BR"/>
    <s v="4"/>
    <s v="12"/>
    <s v="Unknown"/>
    <s v="Upsell"/>
    <s v="06/2026"/>
    <s v=""/>
  </r>
  <r>
    <s v="OPP-10054"/>
    <s v="ACC-1019"/>
    <x v="82"/>
    <s v="Amanda Rios"/>
    <s v="Thistle Tech - DDM - Data - Services &amp; Tech - Services (Analytics &amp; Support) - 01/2026"/>
    <s v="Change Order/Upsell"/>
    <x v="2"/>
    <n v="294537.34999999998"/>
    <s v="BRL"/>
    <n v="294537.34999999998"/>
    <s v="BRL"/>
    <s v="DDM - Data - Services &amp; Tech - Services (Analytics &amp; Support)"/>
    <d v="2026-01-30T00:00:00"/>
    <d v="2025-11-28T00:00:00"/>
    <s v="Inbound - Current Client (DEPRECATED)"/>
    <s v="São Carlos, BR"/>
    <s v="74"/>
    <s v="5"/>
    <s v="Customer Success"/>
    <s v="Upsell"/>
    <s v="01/2026"/>
    <n v="63"/>
  </r>
  <r>
    <s v="OPP-10063"/>
    <s v="ACC-1019"/>
    <x v="82"/>
    <s v="Amanda Rios"/>
    <s v="Thistle Tech - DDM - Data - Services &amp; Tech - Services (Analytics &amp; Support) - 06/2026"/>
    <s v="Change Order/Upsell"/>
    <x v="2"/>
    <n v="38183.32"/>
    <s v="BRL"/>
    <n v="38183.32"/>
    <s v="BRL"/>
    <s v="DDM - Data - Services &amp; Tech - Services (Analytics &amp; Support)"/>
    <d v="2026-01-30T00:00:00"/>
    <d v="2025-05-12T00:00:00"/>
    <s v="Inbound - Current Client (DEPRECATED)"/>
    <s v="São Carlos, BR"/>
    <s v="74"/>
    <s v="2"/>
    <s v="Customer Success"/>
    <s v="Upsell"/>
    <s v="01/2026"/>
    <n v="263"/>
  </r>
  <r>
    <s v="OPP-10159"/>
    <s v="ACC-1111"/>
    <x v="26"/>
    <s v="Wanda Borges"/>
    <s v="Walnut Manufacturing - DDM - Data - Services &amp; Tech - Services (Analytics &amp; Support) - 05/2026"/>
    <s v="Project - Competitive"/>
    <x v="1"/>
    <n v="2133050.04"/>
    <s v="BRL"/>
    <n v="189158.04"/>
    <s v="BRL"/>
    <s v="DDM - Data - Services &amp; Tech - Services (Analytics &amp; Support)"/>
    <d v="2026-05-29T00:00:00"/>
    <d v="2026-03-03T00:00:00"/>
    <s v="Inbound - Website - Media.Monks (DEPRECATED)"/>
    <s v="Votorantim, BR"/>
    <s v="15"/>
    <s v="12"/>
    <s v="Inbound"/>
    <s v="New Business"/>
    <s v="05/2026"/>
    <s v=""/>
  </r>
  <r>
    <s v="OPP-10142"/>
    <s v="ACC-1039"/>
    <x v="83"/>
    <s v="Daniel Moura"/>
    <s v="Xerus Mobility - DDM - Data - Services &amp; Tech - Services (Analytics &amp; Support) - 05/2026"/>
    <s v="Change Order/Upsell"/>
    <x v="1"/>
    <n v="254376.21"/>
    <s v="BRL"/>
    <n v="254376.21"/>
    <s v="BRL"/>
    <s v="DDM - Data - Services &amp; Tech - Services (Analytics &amp; Support)"/>
    <d v="2026-05-31T00:00:00"/>
    <d v="2026-02-19T00:00:00"/>
    <s v="Inbound - Current Client (DEPRECATED)"/>
    <s v="Votorantim, BR"/>
    <s v="33"/>
    <s v="6"/>
    <s v="Customer Success"/>
    <s v="Upsell"/>
    <s v="05/2026"/>
    <s v=""/>
  </r>
  <r>
    <s v="OPP-10051"/>
    <s v="ACC-1044"/>
    <x v="54"/>
    <s v="Carla Mendes"/>
    <s v="Yerba Studios - DDM - Data - Services &amp; Tech - Services (Analytics &amp; Support) - 01/2026"/>
    <s v="Flex/Renewal"/>
    <x v="2"/>
    <n v="760000"/>
    <s v="BRL"/>
    <n v="64000"/>
    <s v="BRL"/>
    <s v="DDM - Data - Services &amp; Tech - Services (Analytics &amp; Support)"/>
    <d v="2026-01-27T00:00:00"/>
    <d v="2025-11-26T00:00:00"/>
    <s v="Inbound - Current Client (DEPRECATED)"/>
    <s v="São Carlos, BR"/>
    <s v="77"/>
    <s v="12"/>
    <s v="Customer Success"/>
    <s v="Upsell"/>
    <s v="01/2026"/>
    <n v="62"/>
  </r>
  <r>
    <s v="OPP-10048"/>
    <s v="ACC-1106"/>
    <x v="62"/>
    <s v="Joao Pereira"/>
    <s v="Yucca Farms - DDM - Data - Services &amp; Tech - Services (Analytics &amp; Support) - 03/2026"/>
    <s v="Project - Competitive"/>
    <x v="2"/>
    <n v="195525"/>
    <s v="BRL"/>
    <n v="61020"/>
    <s v="BRL"/>
    <s v="DDM - Data - Services &amp; Tech - Services (Analytics &amp; Support)"/>
    <d v="2026-03-31T00:00:00"/>
    <d v="2025-11-26T00:00:00"/>
    <s v="Referral - Personal"/>
    <s v="Votorantim, BR"/>
    <s v="14"/>
    <s v="3"/>
    <s v="Referral"/>
    <s v="New Business"/>
    <s v="03/2026"/>
    <n v="125"/>
  </r>
  <r>
    <s v="OPP-10172"/>
    <s v="ACC-1085"/>
    <x v="31"/>
    <s v="Felipe Lima"/>
    <s v="Yumberry Mobile - DDM - Data - Services &amp; Tech - Services (Analytics &amp; Support) - 05/2026"/>
    <s v="Project - Competitive"/>
    <x v="3"/>
    <n v="835250.32000000007"/>
    <s v="BRL"/>
    <n v="41122"/>
    <s v="BRL"/>
    <s v="DDM - Data - Services &amp; Tech - Services (Analytics &amp; Support)"/>
    <d v="2026-05-13T00:00:00"/>
    <d v="2026-11-03T00:00:00"/>
    <s v="Referral - Internal"/>
    <s v="São Carlos, BR"/>
    <s v="25"/>
    <s v="12"/>
    <s v="Referral"/>
    <s v="New Business"/>
    <s v="05/2026"/>
    <s v=""/>
  </r>
  <r>
    <s v="OPP-10043"/>
    <s v="ACC-1029"/>
    <x v="32"/>
    <s v="Ana Silva"/>
    <s v="Zephyr Telecom - DDM - Media - Managed Media (AOR) - 03/2026"/>
    <s v="Flex/Renewal"/>
    <x v="2"/>
    <n v="4260383.32"/>
    <s v="BRL"/>
    <n v="432000"/>
    <s v="BRL"/>
    <s v="DDM - Data - Services &amp; Tech - Services (Analytics &amp; Support)"/>
    <d v="2026-09-03T00:00:00"/>
    <d v="2025-11-14T00:00:00"/>
    <s v="Inbound - Current Client (DEPRECATED)"/>
    <s v="São Carlos, BR"/>
    <s v="36"/>
    <s v="12"/>
    <s v="Customer Success"/>
    <s v="Upsell"/>
    <s v="09/2026"/>
    <n v="293"/>
  </r>
  <r>
    <s v="OPP-10045"/>
    <s v="ACC-1029"/>
    <x v="32"/>
    <s v="Ana Silva"/>
    <s v="Zephyr Telecom - DDM - Media - Managed Media (AOR) - 02/2026"/>
    <s v="Flex/Renewal"/>
    <x v="2"/>
    <n v="3785206.2099999995"/>
    <s v="BRL"/>
    <n v="746108.88"/>
    <s v="BRL"/>
    <s v="DDM - Data - Services &amp; Tech - Services (Analytics &amp; Support)"/>
    <d v="2026-02-13T00:00:00"/>
    <d v="2025-11-14T00:00:00"/>
    <s v="Inbound - Current Client (DEPRECATED)"/>
    <s v="São Carlos, BR"/>
    <s v="60"/>
    <s v="12"/>
    <s v="Customer Success"/>
    <s v="Upsell"/>
    <s v="02/2026"/>
    <n v="91"/>
  </r>
  <r>
    <s v="OPP-10059"/>
    <s v="ACC-1029"/>
    <x v="32"/>
    <s v="Ana Silva"/>
    <s v="Zephyr Telecom - DDM - Data - Services &amp; Tech - Services (Analytics &amp; Support) - 03/2026"/>
    <s v="Flex/Renewal"/>
    <x v="2"/>
    <n v="490082.16"/>
    <s v="BRL"/>
    <n v="144000"/>
    <s v="BRL"/>
    <s v="DDM - Data - Services &amp; Tech - Services (Analytics &amp; Support)"/>
    <d v="2026-11-03T00:00:00"/>
    <d v="2025-02-12T00:00:00"/>
    <s v="Inbound - Current Client (DEPRECATED)"/>
    <s v="São Carlos, BR"/>
    <s v="34"/>
    <s v="12"/>
    <s v="Customer Success"/>
    <s v="Upsell"/>
    <s v="11/2026"/>
    <n v="629"/>
  </r>
  <r>
    <s v="OPP-10179"/>
    <s v="ACC-1029"/>
    <x v="32"/>
    <s v="Ana Silva"/>
    <s v="Zephyr Telecom - DDM - Media - Managed Media (AOR) - 02/2026"/>
    <s v="Flex/Renewal"/>
    <x v="0"/>
    <n v="709465.68"/>
    <s v="BRL"/>
    <n v="144000"/>
    <s v="BRL"/>
    <s v="DDM - Data - Services &amp; Tech - Services (Analytics &amp; Support)"/>
    <d v="2026-04-30T00:00:00"/>
    <d v="2026-12-03T00:00:00"/>
    <s v="Inbound - Current Client (DEPRECATED)"/>
    <s v="São Carlos, BR"/>
    <s v="28"/>
    <s v="12"/>
    <s v="Customer Success"/>
    <s v="Upsell"/>
    <s v="04/2026"/>
    <s v=""/>
  </r>
  <r>
    <s v="OPP-10006"/>
    <s v="ACC-1029"/>
    <x v="32"/>
    <s v="Ana Silva"/>
    <s v="Zephyr Telecom - DDM - Data - Services &amp; Tech - Services (Analytics &amp; Support) - 04/2026"/>
    <s v="Change Order/Upsell"/>
    <x v="2"/>
    <n v="64258.47"/>
    <s v="BRL"/>
    <n v="64258.47"/>
    <s v="BRL"/>
    <s v="DDM - Data - Services &amp; Tech - Services (Analytics &amp; Support)"/>
    <d v="2026-01-21T00:00:00"/>
    <d v="2025-08-21T00:00:00"/>
    <s v="Inbound - Current Client (DEPRECATED)"/>
    <s v="São Carlos, BR"/>
    <s v="83"/>
    <s v="1"/>
    <s v="Customer Success"/>
    <s v="Upsell"/>
    <s v="01/2026"/>
    <n v="153"/>
  </r>
  <r>
    <s v="OPP-10086"/>
    <s v="ACC-1029"/>
    <x v="32"/>
    <s v="Ana Silva"/>
    <s v="Zephyr Telecom - Content - Platform - Performance, SEO, CRM &amp; Loyalty - 06/2026"/>
    <s v="Change Order/Upsell"/>
    <x v="0"/>
    <n v="10"/>
    <s v="BRL"/>
    <n v="10"/>
    <s v="BRL"/>
    <s v="DDM - Data - Services &amp; Tech - Services (Analytics &amp; Support)"/>
    <d v="2026-04-30T00:00:00"/>
    <d v="2026-08-01T00:00:00"/>
    <s v="Inbound - Current Client (DEPRECATED)"/>
    <s v="São Carlos, BR"/>
    <s v="61"/>
    <s v="1"/>
    <s v="Customer Success"/>
    <s v="Upsell"/>
    <s v="04/2026"/>
    <s v=""/>
  </r>
  <r>
    <s v="OPP-10008"/>
    <s v="ACC-1015"/>
    <x v="84"/>
    <s v="Ana Silva"/>
    <s v="Zinnia Apparel - DDM - Data - Services &amp; Tech - Services (Analytics &amp; Support) - 03/2026"/>
    <s v="Flex/Renewal"/>
    <x v="2"/>
    <n v="2706200.27"/>
    <s v="BRL"/>
    <n v="573365.34"/>
    <s v="BRL"/>
    <s v="DDM - Data - Services &amp; Tech - Services (Analytics &amp; Support)"/>
    <d v="2026-03-31T00:00:00"/>
    <d v="2025-08-22T00:00:00"/>
    <s v="Inbound - Current Client (DEPRECATED)"/>
    <s v="São Carlos, BR"/>
    <s v="14"/>
    <s v="12"/>
    <s v="Customer Success"/>
    <s v="Upsell"/>
    <s v="03/2026"/>
    <n v="221"/>
  </r>
  <r>
    <s v="OPP-10053"/>
    <s v="ACC-1064"/>
    <x v="1"/>
    <s v="Daniel Moura"/>
    <s v="Arrow Construction - Content - Platform - Performance, SEO, CRM &amp; Loyalty - 05/2026"/>
    <s v="Change Order/Upsell"/>
    <x v="0"/>
    <n v="235251.12000000002"/>
    <s v="BRL"/>
    <n v="47991.23"/>
    <s v="BRL"/>
    <s v="DDM - Data - Services &amp; Tech - Services (Data Science/Data Eng.)"/>
    <d v="2026-05-31T00:00:00"/>
    <d v="2025-11-28T00:00:00"/>
    <s v="Inbound - Current Client (DEPRECATED)"/>
    <s v="Votorantim, BR"/>
    <s v="69"/>
    <s v="12"/>
    <s v="Customer Success"/>
    <s v="Upsell"/>
    <s v="05/2026"/>
    <s v=""/>
  </r>
  <r>
    <s v="OPP-10081"/>
    <s v="ACC-1107"/>
    <x v="40"/>
    <s v="Xavier Correia"/>
    <s v="Cobalt SaaS - DDM - Data - Services &amp; Tech - Services (Data Science/Data Eng.) - 01/2026"/>
    <s v="Project - Not Competitive"/>
    <x v="2"/>
    <n v="120000"/>
    <s v="BRL"/>
    <n v="120000"/>
    <s v="BRL"/>
    <s v="DDM - Data - Services &amp; Tech - Services (Data Science/Data Eng.)"/>
    <d v="2026-01-14T00:00:00"/>
    <d v="2025-12-22T00:00:00"/>
    <s v="Referral - Personal"/>
    <s v="São Carlos, BR"/>
    <s v="90"/>
    <s v="12"/>
    <s v="Referral"/>
    <s v="New Business"/>
    <s v="01/2026"/>
    <n v="23"/>
  </r>
  <r>
    <s v="OPP-10099"/>
    <s v="ACC-1112"/>
    <x v="4"/>
    <s v="Xavier Correia"/>
    <s v="Company 111 - DDM - Data - Services &amp; Tech - Services (Data Science/Data Eng.) - 02/2026"/>
    <s v="Project - Competitive"/>
    <x v="2"/>
    <n v="4293965.2399999993"/>
    <s v="BRL"/>
    <n v="631584"/>
    <s v="BRL"/>
    <s v="DDM - Data - Services &amp; Tech - Services (Data Science/Data Eng.)"/>
    <d v="2026-02-27T00:00:00"/>
    <d v="2026-01-20T00:00:00"/>
    <s v="Referral - S4 Company"/>
    <s v="São Carlos, BR"/>
    <s v="46"/>
    <s v="12"/>
    <s v="Referral"/>
    <s v="New Business"/>
    <s v="02/2026"/>
    <n v="38"/>
  </r>
  <r>
    <s v="OPP-10050"/>
    <s v="ACC-1045"/>
    <x v="11"/>
    <s v="Felipe Lima"/>
    <s v="Jasper Security - DDM - Data - Services &amp; Tech - Services (Data Science/Data Eng.) - 05/2026"/>
    <s v="Project - Competitive"/>
    <x v="3"/>
    <n v="6208423.2000000002"/>
    <s v="BRL"/>
    <n v="419838.24"/>
    <s v="BRL"/>
    <s v="DDM - Data - Services &amp; Tech - Services (Data Science/Data Eng.)"/>
    <d v="2026-05-13T00:00:00"/>
    <d v="2025-11-26T00:00:00"/>
    <s v="Referral - Internal"/>
    <s v="Votorantim, BR"/>
    <s v="64"/>
    <s v="12"/>
    <s v="Referral"/>
    <s v="New Business"/>
    <s v="05/2026"/>
    <s v=""/>
  </r>
  <r>
    <s v="OPP-10139"/>
    <s v="ACC-1070"/>
    <x v="55"/>
    <s v="Wanda Borges"/>
    <s v="Quinoa Foods - DDM - Media - Managed Media (AOR) - 01/2026"/>
    <s v="Project - Competitive"/>
    <x v="0"/>
    <n v="1184791"/>
    <s v="BRL"/>
    <n v="406820"/>
    <s v="BRL"/>
    <s v="DDM - Data - Services &amp; Tech - Services (Data Science/Data Eng.)"/>
    <d v="2026-04-24T00:00:00"/>
    <d v="2026-02-18T00:00:00"/>
    <s v="Referral - S4 Company"/>
    <s v="São Paulo, BR"/>
    <s v="26"/>
    <s v="10"/>
    <s v="Referral"/>
    <s v="New Business"/>
    <s v="04/2026"/>
    <s v=""/>
  </r>
  <r>
    <s v="OPP-10031"/>
    <s v="ACC-1070"/>
    <x v="55"/>
    <s v="Wanda Borges"/>
    <s v="Quinoa Foods - DDM - Data - Services &amp; Tech - Services (Data Science/Data Eng.) - 04/2026"/>
    <s v="Project - Competitive"/>
    <x v="2"/>
    <n v="1014586.08"/>
    <s v="BRL"/>
    <n v="255745.08"/>
    <s v="BRL"/>
    <s v="DDM - Data - Services &amp; Tech - Services (Data Science/Data Eng.)"/>
    <d v="2026-06-01T00:00:00"/>
    <d v="2025-10-27T00:00:00"/>
    <s v="Prospecting - Current Client (DEPRECATED)"/>
    <s v="São Paulo, BR"/>
    <s v="98"/>
    <s v="6"/>
    <s v="Customer Success"/>
    <s v="New Business"/>
    <s v="06/2026"/>
    <n v="217"/>
  </r>
  <r>
    <s v="OPP-10164"/>
    <s v="ACC-1036"/>
    <x v="52"/>
    <s v="Pedro Martins"/>
    <s v="Rowan Energy - DDM - Commerce - Content - 03/2026"/>
    <s v="Change Order/Upsell"/>
    <x v="2"/>
    <n v="274209.96999999997"/>
    <s v="BRL"/>
    <n v="33179.410000000003"/>
    <s v="BRL"/>
    <s v="DDM - Data - Services &amp; Tech - Services (Data Science/Data Eng.)"/>
    <d v="2026-05-03T00:00:00"/>
    <d v="2026-05-03T00:00:00"/>
    <s v="Inbound - Current Client (DEPRECATED)"/>
    <s v="Votorantim, BR"/>
    <s v="40"/>
    <s v="1"/>
    <s v="Customer Success"/>
    <s v="Upsell"/>
    <s v="05/2026"/>
    <s v=""/>
  </r>
  <r>
    <s v="OPP-10014"/>
    <s v="ACC-1036"/>
    <x v="52"/>
    <s v="Pedro Martins"/>
    <s v="Rowan Energy - DDM - Data - Services &amp; Tech - Services (Data Science/Data Eng.) - 03/2026"/>
    <s v="Change Order/Upsell"/>
    <x v="1"/>
    <n v="47800.800000000003"/>
    <s v="BRL"/>
    <n v="47800.800000000003"/>
    <s v="BRL"/>
    <s v="DDM - Data - Services &amp; Tech - Services (Data Science/Data Eng.)"/>
    <d v="2026-05-31T00:00:00"/>
    <d v="2025-09-17T00:00:00"/>
    <s v="Inbound - Current Client (DEPRECATED)"/>
    <s v="Votorantim, BR"/>
    <s v="148"/>
    <s v="6"/>
    <s v="Customer Success"/>
    <s v="Upsell"/>
    <s v="05/2026"/>
    <s v=""/>
  </r>
  <r>
    <s v="OPP-10192"/>
    <s v="ACC-1034"/>
    <x v="85"/>
    <s v="Xavier Correia"/>
    <s v="Ume Insurance - DDM - Data - Services &amp; Tech - Services (Data Science/Data Eng.) - 05/2026"/>
    <s v="Project - Competitive"/>
    <x v="4"/>
    <n v="1528601.1600000001"/>
    <s v="BRL"/>
    <n v="567936"/>
    <s v="BRL"/>
    <s v="DDM - Data - Services &amp; Tech - Services (Data Science/Data Eng.)"/>
    <d v="2026-05-31T00:00:00"/>
    <d v="2026-03-20T00:00:00"/>
    <s v="Inbound - Website - Media.Monks (DEPRECATED)"/>
    <s v="São Carlos, BR"/>
    <s v="4"/>
    <s v="12"/>
    <s v="Inbound"/>
    <s v="New Business"/>
    <s v="05/2026"/>
    <s v=""/>
  </r>
  <r>
    <s v="OPP-10182"/>
    <s v="ACC-1037"/>
    <x v="0"/>
    <s v="Bruno Costa"/>
    <s v="Acacia Telecom - DDM - Data - Services &amp; Tech - Services (Analytics &amp; Support) - 04/2026"/>
    <s v="Change Order/Upsell"/>
    <x v="4"/>
    <n v="270000"/>
    <s v="BRL"/>
    <n v="270000"/>
    <s v="BRL"/>
    <s v="DDM - Media - Activation - Platforms Reselling"/>
    <d v="2026-07-31T00:00:00"/>
    <d v="2026-03-13T00:00:00"/>
    <s v="Inbound - Current Client (DEPRECATED)"/>
    <s v="São Paulo, BR"/>
    <s v="12"/>
    <s v="12"/>
    <s v="Customer Success"/>
    <s v="Upsell"/>
    <s v="07/2026"/>
    <s v=""/>
  </r>
  <r>
    <s v="OPP-10152"/>
    <s v="ACC-1117"/>
    <x v="86"/>
    <s v="Felipe Lima"/>
    <s v="Company 116 - DDM - Media - Activation - Platforms Reselling - 06/2026"/>
    <s v="Project - Competitive"/>
    <x v="4"/>
    <n v="216000"/>
    <s v="BRL"/>
    <n v="216000"/>
    <s v="BRL"/>
    <s v="DDM - Media - Activation - Platforms Reselling"/>
    <d v="2026-01-06T00:00:00"/>
    <d v="2026-02-27T00:00:00"/>
    <s v="Referral - Internal"/>
    <s v="São Paulo, BR"/>
    <s v="29"/>
    <s v="12"/>
    <s v="Referral"/>
    <s v="New Business"/>
    <s v="01/2026"/>
    <s v=""/>
  </r>
  <r>
    <s v="OPP-10153"/>
    <s v="ACC-1118"/>
    <x v="87"/>
    <s v="Nicolas Teixeira"/>
    <s v="Company 117 - DDM - Media - Activation - Platforms Reselling - 03/2026"/>
    <s v="Project - Not Competitive"/>
    <x v="2"/>
    <n v="84000"/>
    <s v="BRL"/>
    <n v="84000"/>
    <s v="BRL"/>
    <s v="DDM - Media - Activation - Platforms Reselling"/>
    <d v="2026-10-03T00:00:00"/>
    <d v="2026-02-27T00:00:00"/>
    <s v="Referral - Internal"/>
    <s v="São Paulo, BR"/>
    <s v="35"/>
    <s v="12"/>
    <s v="Referral"/>
    <s v="New Business"/>
    <s v="10/2026"/>
    <n v="218"/>
  </r>
  <r>
    <s v="OPP-10037"/>
    <s v="ACC-1012"/>
    <x v="88"/>
    <s v="Carla Mendes"/>
    <s v="Dill Delivery - DDM - Media - Activation - Platforms Reselling - 01/2026"/>
    <s v="Flex/Renewal"/>
    <x v="2"/>
    <n v="667166.55000000005"/>
    <s v="BRL"/>
    <n v="667166.55000000005"/>
    <s v="BRL"/>
    <s v="DDM - Media - Activation - Platforms Reselling"/>
    <d v="2026-01-29T00:00:00"/>
    <d v="2025-10-11T00:00:00"/>
    <s v="Inbound - Current Client (DEPRECATED)"/>
    <s v="São Paulo, BR"/>
    <s v="75"/>
    <s v="12"/>
    <s v="Customer Success"/>
    <s v="Upsell"/>
    <s v="01/2026"/>
    <n v="110"/>
  </r>
  <r>
    <s v="OPP-10219"/>
    <s v="ACC-1050"/>
    <x v="7"/>
    <s v="Queila Ribeiro"/>
    <s v="Dune Ecommerce - DDM - Media - Activation - Platforms Reselling - 06/2026"/>
    <s v="Flex/Renewal"/>
    <x v="0"/>
    <n v="3480000"/>
    <s v="BRL"/>
    <n v="1800000"/>
    <s v="BRL"/>
    <s v="DDM - Media - Activation - Platforms Reselling"/>
    <d v="2026-06-30T00:00:00"/>
    <d v="2026-01-04T00:00:00"/>
    <s v="Existing Client - Account/Growth Activity"/>
    <s v="São Paulo, BR"/>
    <s v="12"/>
    <s v="12"/>
    <s v="Customer Success"/>
    <s v="Upsell"/>
    <s v="06/2026"/>
    <s v=""/>
  </r>
  <r>
    <s v="OPP-10219"/>
    <s v="ACC-1050"/>
    <x v="7"/>
    <s v="Queila Ribeiro"/>
    <s v="Dune Ecommerce - DDM - Media - Activation - Platforms Reselling - 06/2026"/>
    <s v="Flex/Renewal"/>
    <x v="0"/>
    <n v="3480000"/>
    <s v="BRL"/>
    <n v="1680000"/>
    <s v="BRL"/>
    <s v="DDM - Media - Activation - Platforms Reselling"/>
    <d v="2026-06-30T00:00:00"/>
    <d v="2026-01-04T00:00:00"/>
    <s v="Existing Client - Account/Growth Activity"/>
    <s v="São Paulo, BR"/>
    <s v="12"/>
    <s v="12"/>
    <s v="Customer Success"/>
    <s v="Upsell"/>
    <s v="06/2026"/>
    <s v=""/>
  </r>
  <r>
    <s v="OPP-10105"/>
    <s v="ACC-1053"/>
    <x v="9"/>
    <s v="Bernardo Castro"/>
    <s v="Hemlock Insurance - Content - Platform - Performance, SEO, CRM &amp; Loyalty - 05/2026"/>
    <s v="Change Order/Upsell"/>
    <x v="3"/>
    <n v="151200"/>
    <s v="BRL"/>
    <n v="151200"/>
    <s v="BRL"/>
    <s v="DDM - Media - Activation - Platforms Reselling"/>
    <d v="2026-04-30T00:00:00"/>
    <d v="2026-01-22T00:00:00"/>
    <s v="Inbound - Current Client (DEPRECATED)"/>
    <s v="São Paulo, BR"/>
    <s v="15"/>
    <s v="12"/>
    <s v="Customer Success"/>
    <s v="Upsell"/>
    <s v="04/2026"/>
    <s v=""/>
  </r>
  <r>
    <s v="OPP-10204"/>
    <s v="ACC-1003"/>
    <x v="89"/>
    <s v="Bruno Costa"/>
    <s v="Ibis Mobility - DDM - Media - Activation - Platforms Reselling - 05/2026"/>
    <s v="Change Order/Upsell"/>
    <x v="1"/>
    <n v="100000"/>
    <s v="BRL"/>
    <n v="100000"/>
    <s v="BRL"/>
    <s v="DDM - Media - Activation - Platforms Reselling"/>
    <d v="2026-05-31T00:00:00"/>
    <d v="2026-03-27T00:00:00"/>
    <s v="Inbound - Current Client (DEPRECATED)"/>
    <s v="São Paulo, BR"/>
    <s v="12"/>
    <s v="12"/>
    <s v="Customer Success"/>
    <s v="Upsell"/>
    <s v="05/2026"/>
    <s v=""/>
  </r>
  <r>
    <s v="OPP-10002"/>
    <s v="ACC-1108"/>
    <x v="90"/>
    <s v="Wanda Borges"/>
    <s v="Jojoba Cosmetics - DDM - Media - Activation - Platforms Reselling - 01/2026"/>
    <s v="Project - Competitive"/>
    <x v="2"/>
    <n v="85000"/>
    <s v="BRL"/>
    <n v="85000"/>
    <s v="BRL"/>
    <s v="DDM - Media - Activation - Platforms Reselling"/>
    <d v="2026-01-19T00:00:00"/>
    <d v="2025-05-30T00:00:00"/>
    <s v="Referral - Partner - Google Marketing Platform"/>
    <s v="São Paulo, BR"/>
    <s v="85"/>
    <s v="12"/>
    <s v="Referral"/>
    <s v="New Business"/>
    <s v="01/2026"/>
    <n v="234"/>
  </r>
  <r>
    <s v="OPP-10218"/>
    <s v="ACC-1104"/>
    <x v="91"/>
    <s v="Diego Rocha"/>
    <s v="Juno Health - DDM - Media - Activation - Platforms Reselling - 04/2026"/>
    <s v="Project - Not Competitive"/>
    <x v="0"/>
    <n v="42000"/>
    <s v="BRL"/>
    <n v="42000"/>
    <s v="BRL"/>
    <s v="DDM - Media - Activation - Platforms Reselling"/>
    <d v="2026-04-13T00:00:00"/>
    <d v="2026-01-04T00:00:00"/>
    <s v="Referral - Internal"/>
    <s v="São Carlos, BR"/>
    <s v="12"/>
    <s v="12"/>
    <s v="Referral"/>
    <s v="New Business"/>
    <s v="04/2026"/>
    <s v=""/>
  </r>
  <r>
    <s v="OPP-10114"/>
    <s v="ACC-1031"/>
    <x v="17"/>
    <s v="Queila Ribeiro"/>
    <s v="Nova Studios - DDM - Commerce - Content - 05/2026"/>
    <s v="Flex/Renewal"/>
    <x v="0"/>
    <n v="500000"/>
    <s v="BRL"/>
    <n v="185000"/>
    <s v="BRL"/>
    <s v="DDM - Media - Activation - Platforms Reselling"/>
    <d v="2026-04-30T00:00:00"/>
    <d v="2026-01-30T00:00:00"/>
    <s v="Inbound - Current Client (DEPRECATED)"/>
    <s v="São Paulo, BR"/>
    <s v="7"/>
    <s v="12"/>
    <s v="Customer Success"/>
    <s v="Upsell"/>
    <s v="04/2026"/>
    <s v=""/>
  </r>
  <r>
    <s v="OPP-10114"/>
    <s v="ACC-1031"/>
    <x v="17"/>
    <s v="Queila Ribeiro"/>
    <s v="Nova Studios - DDM - Media - Activation - Platforms Reselling - 04/2026"/>
    <s v="Flex/Renewal"/>
    <x v="0"/>
    <n v="500000"/>
    <s v="BRL"/>
    <n v="315000"/>
    <s v="BRL"/>
    <s v="DDM - Media - Activation - Platforms Reselling"/>
    <d v="2026-04-30T00:00:00"/>
    <d v="2026-01-30T00:00:00"/>
    <s v="Inbound - Current Client (DEPRECATED)"/>
    <s v="São Paulo, BR"/>
    <s v="7"/>
    <s v="12"/>
    <s v="Customer Success"/>
    <s v="Upsell"/>
    <s v="04/2026"/>
    <s v=""/>
  </r>
  <r>
    <s v="OPP-10125"/>
    <s v="ACC-1055"/>
    <x v="92"/>
    <s v="Xavier Correia"/>
    <s v="Olive Hospitality - DDM - Media - Activation - Platforms Reselling - 04/2026"/>
    <s v="Project - Not Competitive"/>
    <x v="3"/>
    <n v="362880"/>
    <s v="BRL"/>
    <n v="48000"/>
    <s v="BRL"/>
    <s v="DDM - Media - Activation - Platforms Reselling"/>
    <d v="2026-04-30T00:00:00"/>
    <d v="2026-06-02T00:00:00"/>
    <s v="Referral - Partner - Google Cloud"/>
    <s v="São Carlos, BR"/>
    <s v="36"/>
    <s v="12"/>
    <s v="Referral"/>
    <s v="New Business"/>
    <s v="04/2026"/>
    <s v=""/>
  </r>
  <r>
    <s v="OPP-10190"/>
    <s v="ACC-1047"/>
    <x v="93"/>
    <s v="Nicolas Teixeira"/>
    <s v="Oregano Air - DDM - Media - Activation - Platforms Reselling - 05/2026"/>
    <s v="Project - Not Competitive"/>
    <x v="4"/>
    <n v="31256.14"/>
    <s v="BRL"/>
    <n v="21000"/>
    <s v="BRL"/>
    <s v="DDM - Media - Activation - Platforms Reselling"/>
    <d v="2026-05-29T00:00:00"/>
    <d v="2026-03-20T00:00:00"/>
    <s v="Inbound - Website - Media.Monks (DEPRECATED)"/>
    <s v="São Carlos, BR"/>
    <s v="4"/>
    <s v="12"/>
    <s v="Inbound"/>
    <s v="New Business"/>
    <s v="05/2026"/>
    <s v=""/>
  </r>
  <r>
    <s v="OPP-10209"/>
    <s v="ACC-1082"/>
    <x v="94"/>
    <s v="Xavier Correia"/>
    <s v="Thyme SaaS - DDM - Media - Activation - Platforms Reselling - 04/2026"/>
    <s v="Project - Competitive"/>
    <x v="1"/>
    <n v="1887511.68"/>
    <s v="BRL"/>
    <n v="1887511.68"/>
    <s v="BRL"/>
    <s v="DDM - Media - Activation - Platforms Reselling"/>
    <d v="2026-04-29T00:00:00"/>
    <d v="2026-03-30T00:00:00"/>
    <s v="MH Lead (DEPRECATED)"/>
    <s v="São Carlos, BR"/>
    <s v="8"/>
    <s v="12"/>
    <s v="Unknown"/>
    <s v="New Business"/>
    <s v="04/2026"/>
    <s v=""/>
  </r>
  <r>
    <s v="OPP-10047"/>
    <s v="ACC-1024"/>
    <x v="48"/>
    <s v="Carla Mendes"/>
    <s v="Topaz Publishing - DDM - Media - Activation - Platforms Reselling - 01/2026"/>
    <s v="Flex/Renewal"/>
    <x v="2"/>
    <n v="175660.68"/>
    <s v="BRL"/>
    <n v="175660.68"/>
    <s v="BRL"/>
    <s v="DDM - Media - Activation - Platforms Reselling"/>
    <d v="2026-01-31T00:00:00"/>
    <d v="2025-11-24T00:00:00"/>
    <s v="Inbound - Current Client (DEPRECATED)"/>
    <s v="São Paulo, BR"/>
    <s v="70"/>
    <s v="12"/>
    <s v="Customer Success"/>
    <s v="Upsell"/>
    <s v="01/2026"/>
    <n v="68"/>
  </r>
  <r>
    <s v="OPP-10126"/>
    <s v="ACC-1009"/>
    <x v="95"/>
    <s v="Lucas Almeida"/>
    <s v="Usnea Apparel - DDM - Media - Activation - Platforms Reselling - 04/2026"/>
    <s v="Change Order/Upsell"/>
    <x v="1"/>
    <n v="300000"/>
    <s v="BRL"/>
    <n v="300000"/>
    <s v="BRL"/>
    <s v="DDM - Media - Activation - Platforms Reselling"/>
    <d v="2026-04-27T00:00:00"/>
    <d v="2026-09-02T00:00:00"/>
    <s v="Inbound - Current Client (DEPRECATED) "/>
    <s v="São Paulo, BR"/>
    <s v="64"/>
    <s v="12"/>
    <s v="Customer Success"/>
    <s v="Upsell"/>
    <s v="04/2026"/>
    <s v=""/>
  </r>
  <r>
    <s v="OPP-10005"/>
    <s v="ACC-1096"/>
    <x v="96"/>
    <s v="Nicolas Teixeira"/>
    <s v="Vanilla Beverages - DDM - Media - Activation - Platforms Reselling - 05/2026"/>
    <s v="Project - Competitive"/>
    <x v="3"/>
    <n v="30000"/>
    <s v="BRL"/>
    <n v="30000"/>
    <s v="BRL"/>
    <s v="DDM - Media - Activation - Platforms Reselling"/>
    <d v="2026-05-29T00:00:00"/>
    <d v="2025-08-18T00:00:00"/>
    <s v="Referral - Internal"/>
    <s v="São Carlos, BR"/>
    <s v="92"/>
    <s v="12"/>
    <s v="Referral"/>
    <s v="New Business"/>
    <s v="05/2026"/>
    <s v=""/>
  </r>
  <r>
    <s v="OPP-10162"/>
    <s v="ACC-1021"/>
    <x v="25"/>
    <s v="Carla Mendes"/>
    <s v="Violet Agriculture - Content - Platform - Performance, SEO, CRM &amp; Loyalty - 05/2026"/>
    <s v="Flex/Renewal"/>
    <x v="2"/>
    <n v="124000"/>
    <s v="BRL"/>
    <n v="124000"/>
    <s v="BRL"/>
    <s v="DDM - Media - Activation - Platforms Reselling"/>
    <d v="2026-03-25T00:00:00"/>
    <d v="2026-05-03T00:00:00"/>
    <s v="Inbound - Current Client (DEPRECATED)"/>
    <s v="São Paulo, BR"/>
    <s v="20"/>
    <s v="12"/>
    <s v="Customer Success"/>
    <s v="Upsell"/>
    <s v="03/2026"/>
    <s v=""/>
  </r>
  <r>
    <s v="OPP-10003"/>
    <s v="ACC-1094"/>
    <x v="97"/>
    <s v="Lucas Almeida"/>
    <s v="Xylitol Beverages - DDM - Media - Activation - Platforms Reselling - 01/2026"/>
    <s v="Project - Not Competitive"/>
    <x v="2"/>
    <n v="40000"/>
    <s v="BRL"/>
    <n v="40000"/>
    <s v="BRL"/>
    <s v="DDM - Media - Activation - Platforms Reselling"/>
    <d v="2026-09-01T00:00:00"/>
    <d v="2025-07-21T00:00:00"/>
    <s v="Referral - Internal"/>
    <s v="São Paulo, BR"/>
    <s v="92"/>
    <s v="12"/>
    <s v="Referral"/>
    <s v="New Business"/>
    <s v="09/2026"/>
    <n v="407"/>
  </r>
  <r>
    <s v="OPP-10069"/>
    <s v="ACC-1022"/>
    <x v="8"/>
    <s v="Sofia Guimaraes"/>
    <s v="Ember Hospitality - DDM - Media - Advisory - 04/2026"/>
    <s v="Change Order/Upsell"/>
    <x v="2"/>
    <n v="996914.04"/>
    <s v="BRL"/>
    <n v="996914.04"/>
    <s v="BRL"/>
    <s v="DDM - Media - Advisory"/>
    <d v="2026-02-04T00:00:00"/>
    <d v="2025-12-12T00:00:00"/>
    <s v="Inbound - Current Client (DEPRECATED)"/>
    <s v="São Paulo, BR"/>
    <s v="12"/>
    <s v="10"/>
    <s v="Customer Success"/>
    <s v="Upsell"/>
    <s v="02/2026"/>
    <n v="54"/>
  </r>
  <r>
    <s v="OPP-10166"/>
    <s v="ACC-1066"/>
    <x v="15"/>
    <s v="Carla Mendes"/>
    <s v="Magnolia Retail - DDM - Media - Advisory - 05/2026"/>
    <s v="Change Order/Upsell"/>
    <x v="1"/>
    <n v="550700.35"/>
    <s v="BRL"/>
    <n v="550700.35"/>
    <s v="BRL"/>
    <s v="DDM - Media - Advisory"/>
    <d v="2026-05-31T00:00:00"/>
    <d v="2026-06-03T00:00:00"/>
    <s v="Inbound - Current Client (DEPRECATED)"/>
    <s v="São Paulo, BR"/>
    <s v="39"/>
    <s v="6"/>
    <s v="Customer Success"/>
    <s v="Upsell"/>
    <s v="05/2026"/>
    <s v=""/>
  </r>
  <r>
    <s v="OPP-10117"/>
    <s v="ACC-1037"/>
    <x v="0"/>
    <s v="Bruno Costa"/>
    <s v="Acacia Telecom - DDM - Media - Activation - Platforms Reselling - 07/2026"/>
    <s v="Change Order/Upsell"/>
    <x v="2"/>
    <n v="11948.39"/>
    <s v="BRL"/>
    <n v="11948.39"/>
    <s v="BRL"/>
    <s v="DDM - Media - Creative"/>
    <d v="2026-03-26T00:00:00"/>
    <d v="2026-03-02T00:00:00"/>
    <s v="Inbound - Current Client (DEPRECATED)"/>
    <s v="Votorantim, BR"/>
    <s v="19"/>
    <s v="1"/>
    <s v="Customer Success"/>
    <s v="Upsell"/>
    <s v="03/2026"/>
    <n v="24"/>
  </r>
  <r>
    <s v="OPP-10254"/>
    <s v="ACC-1064"/>
    <x v="1"/>
    <s v="Daniel Moura"/>
    <s v="Arrow Construction - DDM - Data - Services &amp; Tech - Services (Analytics &amp; Support) - 05/2026"/>
    <s v="Change Order/Upsell"/>
    <x v="4"/>
    <n v="557613.6"/>
    <s v="BRL"/>
    <n v="557613.6"/>
    <s v="BRL"/>
    <s v="DDM - Media - Creative"/>
    <d v="2026-06-30T00:00:00"/>
    <d v="2026-04-13T00:00:00"/>
    <s v="MH Lead (DEPRECATED)"/>
    <s v="São Carlos, BR"/>
    <s v="1"/>
    <s v="12"/>
    <s v="Unknown"/>
    <s v="Upsell"/>
    <s v="06/2026"/>
    <s v=""/>
  </r>
  <r>
    <s v="OPP-10232"/>
    <s v="ACC-1064"/>
    <x v="1"/>
    <s v="Daniel Moura"/>
    <s v="Arrow Construction - DDM - Media - Managed Media (AOR) - 06/2026"/>
    <s v="Flex/Renewal"/>
    <x v="4"/>
    <n v="883034.4"/>
    <s v="BRL"/>
    <n v="883034.4"/>
    <s v="BRL"/>
    <s v="DDM - Media - Creative"/>
    <d v="2026-06-30T00:00:00"/>
    <d v="2026-08-04T00:00:00"/>
    <s v="Existing Client - Account/Growth Activity"/>
    <s v="São Carlos, BR"/>
    <s v="1"/>
    <s v="12"/>
    <s v="Customer Success"/>
    <s v="Upsell"/>
    <s v="06/2026"/>
    <s v=""/>
  </r>
  <r>
    <s v="OPP-10027"/>
    <s v="ACC-1109"/>
    <x v="39"/>
    <s v="Lucas Almeida"/>
    <s v="Bluefin Logistics - DDM - Media - Creative - 06/2026"/>
    <s v="Retainer"/>
    <x v="1"/>
    <n v="36000"/>
    <s v="BRL"/>
    <n v="12000"/>
    <s v="BRL"/>
    <s v="DDM - Media - Creative"/>
    <d v="2026-06-29T00:00:00"/>
    <d v="2025-10-20T00:00:00"/>
    <s v="Inbound - Website - Media.Monks (DEPRECATED)"/>
    <s v="São Carlos, BR"/>
    <s v="76"/>
    <s v="12"/>
    <s v="Inbound"/>
    <s v="Upsell"/>
    <s v="06/2026"/>
    <s v=""/>
  </r>
  <r>
    <s v="OPP-10228"/>
    <s v="ACC-1011"/>
    <x v="98"/>
    <s v="Xavier Correia"/>
    <s v="Cardamom Design - DDM - Media - Creative - 06/2026"/>
    <s v="Project - Competitive"/>
    <x v="6"/>
    <n v="100000"/>
    <s v="BRL"/>
    <n v="100000"/>
    <s v="BRL"/>
    <s v="DDM - Media - Creative"/>
    <d v="2026-06-30T00:00:00"/>
    <d v="2026-06-04T00:00:00"/>
    <s v="Referral - Internal"/>
    <s v="São Carlos, BR"/>
    <s v="4"/>
    <s v="12"/>
    <s v="Referral"/>
    <s v="New Business"/>
    <s v="06/2026"/>
    <s v=""/>
  </r>
  <r>
    <s v="OPP-10110"/>
    <s v="ACC-1062"/>
    <x v="3"/>
    <s v="Daniel Moura"/>
    <s v="Cedar Foods - DDM - Media - Creative - 06/2026"/>
    <s v="Change Order/Upsell"/>
    <x v="1"/>
    <n v="4565828.57"/>
    <s v="BRL"/>
    <n v="1162468.52"/>
    <s v="BRL"/>
    <s v="DDM - Media - Creative"/>
    <d v="2026-06-30T00:00:00"/>
    <d v="2026-01-26T00:00:00"/>
    <s v="Inbound - Current Client (DEPRECATED)"/>
    <s v="Votorantim, BR"/>
    <s v="33"/>
    <s v="12"/>
    <s v="Customer Success"/>
    <s v="Upsell"/>
    <s v="06/2026"/>
    <s v=""/>
  </r>
  <r>
    <s v="OPP-10154"/>
    <s v="ACC-1119"/>
    <x v="6"/>
    <s v="Wanda Borges"/>
    <s v="Company 118 - DDM - Media - Creative - 05/2026"/>
    <s v="Project - Competitive"/>
    <x v="1"/>
    <n v="2344909.7999999998"/>
    <s v="BRL"/>
    <n v="768956.4"/>
    <s v="BRL"/>
    <s v="DDM - Media - Creative"/>
    <d v="2026-05-29T00:00:00"/>
    <d v="2026-02-27T00:00:00"/>
    <s v="Inbound - Website - Media.Monks (DEPRECATED)"/>
    <s v="Votorantim, BR"/>
    <s v="15"/>
    <s v="12"/>
    <s v="Inbound"/>
    <s v="New Business"/>
    <s v="05/2026"/>
    <s v=""/>
  </r>
  <r>
    <s v="OPP-10173"/>
    <s v="ACC-1120"/>
    <x v="73"/>
    <s v="Felipe Lima"/>
    <s v="Company 119 - DDM - Media - Creative - 05/2026"/>
    <s v="Project - Competitive"/>
    <x v="1"/>
    <n v="894521"/>
    <s v="BRL"/>
    <n v="275800.2"/>
    <s v="BRL"/>
    <s v="DDM - Media - Creative"/>
    <d v="2026-04-05T00:00:00"/>
    <d v="2026-11-03T00:00:00"/>
    <s v="Inbound - Website - Media.Monks (DEPRECATED)"/>
    <s v="São Carlos, BR"/>
    <s v="25"/>
    <s v="12"/>
    <s v="Inbound"/>
    <s v="New Business"/>
    <s v="04/2026"/>
    <s v=""/>
  </r>
  <r>
    <s v="OPP-10145"/>
    <s v="ACC-1126"/>
    <x v="99"/>
    <s v="Xavier Correia"/>
    <s v="Company 125 - DDM - Media - Creative - 04/2026"/>
    <s v="Project - Competitive"/>
    <x v="3"/>
    <n v="456000"/>
    <s v="BRL"/>
    <n v="36000"/>
    <s v="BRL"/>
    <s v="DDM - Media - Creative"/>
    <d v="2026-04-30T00:00:00"/>
    <d v="2026-02-20T00:00:00"/>
    <s v="Referral - Personal"/>
    <s v="Votorantim, BR"/>
    <s v="13"/>
    <s v="12"/>
    <s v="Referral"/>
    <s v="New Business"/>
    <s v="04/2026"/>
    <s v=""/>
  </r>
  <r>
    <s v="OPP-10255"/>
    <s v="ACC-1128"/>
    <x v="41"/>
    <s v="Felipe Lima"/>
    <s v="Company 127 - DDM - Media - Creative - 05/2026"/>
    <s v="Project - Competitive"/>
    <x v="5"/>
    <n v="0"/>
    <s v="BRL"/>
    <n v="0"/>
    <s v="BRL"/>
    <s v="DDM - Media - Creative"/>
    <d v="2026-05-13T00:00:00"/>
    <d v="2026-04-13T00:00:00"/>
    <s v="Referral - Internal"/>
    <s v="São Carlos, BR"/>
    <s v="1"/>
    <m/>
    <s v="Referral"/>
    <s v="New Business"/>
    <s v="05/2026"/>
    <s v=""/>
  </r>
  <r>
    <s v="OPP-10036"/>
    <s v="ACC-1004"/>
    <x v="51"/>
    <s v="Carla Mendes"/>
    <s v="Harbor Grocers - DDM - Media - Creative - 01/2026"/>
    <s v="Flex/Renewal"/>
    <x v="2"/>
    <n v="1038355.7999999999"/>
    <s v="BRL"/>
    <n v="241774.07999999999"/>
    <s v="BRL"/>
    <s v="DDM - Media - Creative"/>
    <d v="2026-01-14T00:00:00"/>
    <d v="2025-06-11T00:00:00"/>
    <s v="Inbound - Current Client (DEPRECATED)"/>
    <s v="São Carlos, BR"/>
    <s v="90"/>
    <s v="12"/>
    <s v="Customer Success"/>
    <s v="Upsell"/>
    <s v="01/2026"/>
    <n v="217"/>
  </r>
  <r>
    <s v="OPP-10061"/>
    <s v="ACC-1004"/>
    <x v="51"/>
    <s v="Carla Mendes"/>
    <s v="Harbor Grocers - DDM - Media - Creative - 01/2026"/>
    <s v="Change Order/Upsell"/>
    <x v="2"/>
    <n v="358921.88"/>
    <s v="BRL"/>
    <n v="107937.60000000001"/>
    <s v="BRL"/>
    <s v="DDM - Media - Creative"/>
    <d v="2026-01-14T00:00:00"/>
    <d v="2025-04-12T00:00:00"/>
    <s v="Inbound - Current Client (DEPRECATED)"/>
    <s v="São Carlos, BR"/>
    <s v="90"/>
    <s v="12"/>
    <s v="Customer Success"/>
    <s v="Upsell"/>
    <s v="01/2026"/>
    <n v="277"/>
  </r>
  <r>
    <s v="OPP-10084"/>
    <s v="ACC-1004"/>
    <x v="51"/>
    <s v="Carla Mendes"/>
    <s v="Harbor Grocers - DDM - Commerce - Content - 01/2026"/>
    <s v="Change Order/Upsell"/>
    <x v="2"/>
    <n v="45500"/>
    <s v="BRL"/>
    <n v="17600"/>
    <s v="BRL"/>
    <s v="DDM - Media - Creative"/>
    <d v="2026-01-14T00:00:00"/>
    <d v="2025-12-23T00:00:00"/>
    <s v="Inbound - Current Client (DEPRECATED)"/>
    <s v="São Carlos, BR"/>
    <s v="90"/>
    <s v="2"/>
    <s v="Customer Success"/>
    <s v="Upsell"/>
    <s v="01/2026"/>
    <n v="22"/>
  </r>
  <r>
    <s v="OPP-10187"/>
    <s v="ACC-1004"/>
    <x v="51"/>
    <s v="Carla Mendes"/>
    <s v="Harbor Grocers - DDM - Media - Creative - 01/2026"/>
    <s v="Change Order/Upsell"/>
    <x v="2"/>
    <n v="45500"/>
    <s v="BRL"/>
    <n v="17600"/>
    <s v="BRL"/>
    <s v="DDM - Media - Creative"/>
    <d v="2026-08-04T00:00:00"/>
    <d v="2026-03-19T00:00:00"/>
    <s v="Inbound - Current Client (DEPRECATED)"/>
    <s v="São Carlos, BR"/>
    <s v="6"/>
    <s v="2"/>
    <s v="Customer Success"/>
    <s v="Upsell"/>
    <s v="08/2026"/>
    <n v="138"/>
  </r>
  <r>
    <s v="OPP-10062"/>
    <s v="ACC-1004"/>
    <x v="51"/>
    <s v="Carla Mendes"/>
    <s v="Harbor Grocers - DDM - Commerce - Content - 04/2026"/>
    <s v="Change Order/Upsell"/>
    <x v="2"/>
    <n v="10000"/>
    <s v="BRL"/>
    <n v="10000"/>
    <s v="BRL"/>
    <s v="DDM - Media - Creative"/>
    <d v="2026-08-01T00:00:00"/>
    <d v="2025-04-12T00:00:00"/>
    <s v="Inbound - Current Client (DEPRECATED)"/>
    <s v="São Carlos, BR"/>
    <s v="96"/>
    <s v="1"/>
    <s v="Customer Success"/>
    <s v="Upsell"/>
    <s v="08/2026"/>
    <n v="476"/>
  </r>
  <r>
    <s v="OPP-10046"/>
    <s v="ACC-1049"/>
    <x v="42"/>
    <s v="Bernardo Castro"/>
    <s v="Hazel Construction - DDM - Media - Managed Media (AOR) - 03/2026"/>
    <s v="Change Order/Upsell"/>
    <x v="2"/>
    <n v="604944.24"/>
    <s v="BRL"/>
    <n v="179794.32"/>
    <s v="BRL"/>
    <s v="DDM - Media - Creative"/>
    <d v="2026-02-25T00:00:00"/>
    <d v="2025-11-17T00:00:00"/>
    <s v="Inbound - Current Client (DEPRECATED)"/>
    <s v="São Carlos, BR"/>
    <s v="48"/>
    <s v="12"/>
    <s v="Customer Success"/>
    <s v="Upsell"/>
    <s v="02/2026"/>
    <n v="100"/>
  </r>
  <r>
    <s v="OPP-10060"/>
    <s v="ACC-1005"/>
    <x v="80"/>
    <s v="Lucas Almeida"/>
    <s v="Helios Tech - DDM - Media - Creative - 04/2026"/>
    <s v="Project - Competitive"/>
    <x v="0"/>
    <n v="993642.36"/>
    <s v="BRL"/>
    <n v="343152"/>
    <s v="BRL"/>
    <s v="DDM - Media - Creative"/>
    <d v="2026-10-04T00:00:00"/>
    <d v="2025-03-12T00:00:00"/>
    <s v="Don't Know/Other (DEPRECATED)"/>
    <s v="Votorantim, BR"/>
    <s v="21"/>
    <s v="12"/>
    <s v="Unknown"/>
    <s v="New Business"/>
    <s v="10/2026"/>
    <s v=""/>
  </r>
  <r>
    <s v="OPP-10168"/>
    <s v="ACC-1069"/>
    <x v="43"/>
    <s v="Bruno Costa"/>
    <s v="Honeysuckle Travel - DDM - Media - Creative - 05/2026"/>
    <s v="Flex/Renewal"/>
    <x v="4"/>
    <n v="809225.34"/>
    <s v="BRL"/>
    <n v="215611.5"/>
    <s v="BRL"/>
    <s v="DDM - Media - Creative"/>
    <d v="2026-05-31T00:00:00"/>
    <d v="2026-06-03T00:00:00"/>
    <s v="Inbound - Current Client (DEPRECATED)"/>
    <s v="São Carlos, BR"/>
    <s v="18"/>
    <s v="6"/>
    <s v="Customer Success"/>
    <s v="Upsell"/>
    <s v="05/2026"/>
    <s v=""/>
  </r>
  <r>
    <s v="OPP-10170"/>
    <s v="ACC-1088"/>
    <x v="100"/>
    <s v="Carla Mendes"/>
    <s v="Indigo Utilities - DDM - Media - Creative - 03/2026"/>
    <s v="Flex/Renewal"/>
    <x v="2"/>
    <n v="155444.76"/>
    <s v="BRL"/>
    <n v="155444.76"/>
    <s v="BRL"/>
    <s v="DDM - Media - Creative"/>
    <d v="2026-09-03T00:00:00"/>
    <d v="2026-09-03T00:00:00"/>
    <s v="Inbound - Current Client (DEPRECATED)"/>
    <s v="São Carlos, BR"/>
    <s v="36"/>
    <s v="3"/>
    <s v="Customer Success"/>
    <s v="Upsell"/>
    <s v="09/2026"/>
    <s v=""/>
  </r>
  <r>
    <s v="OPP-10050"/>
    <s v="ACC-1045"/>
    <x v="11"/>
    <s v="Felipe Lima"/>
    <s v="Jasper Security - DDM - Media - Creative - 05/2026"/>
    <s v="Project - Competitive"/>
    <x v="3"/>
    <n v="6208423.2000000002"/>
    <s v="BRL"/>
    <n v="1014954.24"/>
    <s v="BRL"/>
    <s v="DDM - Media - Creative"/>
    <d v="2026-05-13T00:00:00"/>
    <d v="2025-11-26T00:00:00"/>
    <s v="Referral - Internal"/>
    <s v="Votorantim, BR"/>
    <s v="64"/>
    <s v="12"/>
    <s v="Referral"/>
    <s v="New Business"/>
    <s v="05/2026"/>
    <s v=""/>
  </r>
  <r>
    <s v="OPP-10160"/>
    <s v="ACC-1065"/>
    <x v="36"/>
    <s v="Joao Pereira"/>
    <s v="Larkspur Foods - DDM - Media - Creative - 05/2026"/>
    <s v="Project - Competitive"/>
    <x v="1"/>
    <n v="265000"/>
    <s v="BRL"/>
    <n v="4000"/>
    <s v="BRL"/>
    <s v="DDM - Media - Creative"/>
    <d v="2026-04-05T00:00:00"/>
    <d v="2026-03-03T00:00:00"/>
    <s v="Referral - Personal"/>
    <s v="São Carlos, BR"/>
    <s v="19"/>
    <s v="12"/>
    <s v="Referral"/>
    <s v="New Business"/>
    <s v="04/2026"/>
    <s v=""/>
  </r>
  <r>
    <s v="OPP-10144"/>
    <s v="ACC-1041"/>
    <x v="14"/>
    <s v="Amanda Rios"/>
    <s v="Linden Foods - DDM - Media - Creative - 05/2026"/>
    <s v="Flex/Renewal"/>
    <x v="3"/>
    <n v="1926466.8"/>
    <s v="BRL"/>
    <n v="129525.6"/>
    <s v="BRL"/>
    <s v="DDM - Media - Creative"/>
    <d v="2026-05-31T00:00:00"/>
    <d v="2026-02-20T00:00:00"/>
    <s v="Inbound - Current Client (DEPRECATED)"/>
    <s v="São Carlos, BR"/>
    <s v="26"/>
    <s v="12"/>
    <s v="Customer Success"/>
    <s v="Upsell"/>
    <s v="05/2026"/>
    <s v=""/>
  </r>
  <r>
    <s v="OPP-10091"/>
    <s v="ACC-1084"/>
    <x v="16"/>
    <s v="Bruno Costa"/>
    <s v="Nigella Security - DDM - Media - Managed Media (AOR) - 02/2026"/>
    <s v="Flex/Renewal"/>
    <x v="2"/>
    <n v="3156666.46"/>
    <s v="BRL"/>
    <n v="965866.44"/>
    <s v="BRL"/>
    <s v="DDM - Media - Creative"/>
    <d v="2026-02-26T00:00:00"/>
    <d v="2026-12-01T00:00:00"/>
    <s v="Inbound - Current Client (DEPRECATED)"/>
    <s v="São Carlos, BR"/>
    <s v="47"/>
    <s v="12"/>
    <s v="Customer Success"/>
    <s v="Upsell"/>
    <s v="02/2026"/>
    <s v=""/>
  </r>
  <r>
    <s v="OPP-10058"/>
    <s v="ACC-1095"/>
    <x v="45"/>
    <s v="Yasmin Nogueira"/>
    <s v="Nimbus Media - DDM - Media - Creative - 05/2026"/>
    <s v="Project - Competitive"/>
    <x v="3"/>
    <n v="2627267.83"/>
    <s v="BRL"/>
    <n v="290635.8"/>
    <s v="BRL"/>
    <s v="DDM - Media - Creative"/>
    <d v="2026-11-05T00:00:00"/>
    <d v="2025-01-12T00:00:00"/>
    <s v="Referral - Personal"/>
    <s v="Votorantim, BR"/>
    <s v="54"/>
    <s v="12"/>
    <s v="Referral"/>
    <s v="New Business"/>
    <s v="11/2026"/>
    <s v=""/>
  </r>
  <r>
    <s v="OPP-10001"/>
    <s v="ACC-1031"/>
    <x v="17"/>
    <s v="Queila Ribeiro"/>
    <s v="Nova Studios - DDM - Media - Creative - 04/2026"/>
    <s v="Change Order/Upsell"/>
    <x v="0"/>
    <n v="3043949.95"/>
    <s v="BRL"/>
    <n v="738948.26"/>
    <s v="BRL"/>
    <s v="DDM - Media - Creative"/>
    <d v="2026-04-30T00:00:00"/>
    <d v="2025-05-19T00:00:00"/>
    <s v="Inbound - Current Client (DEPRECATED)"/>
    <s v="São Carlos, BR"/>
    <s v="130"/>
    <s v="12"/>
    <s v="Customer Success"/>
    <s v="Upsell"/>
    <s v="04/2026"/>
    <s v=""/>
  </r>
  <r>
    <s v="OPP-10064"/>
    <s v="ACC-1031"/>
    <x v="17"/>
    <s v="Queila Ribeiro"/>
    <s v="Nova Studios - DDM - Commerce - Content - 07/2026"/>
    <s v="Flex/Renewal"/>
    <x v="0"/>
    <n v="4235159.34"/>
    <s v="BRL"/>
    <n v="459539.83"/>
    <s v="BRL"/>
    <s v="DDM - Media - Creative"/>
    <d v="2026-04-17T00:00:00"/>
    <d v="2025-08-12T00:00:00"/>
    <s v="Inbound - Current Client (DEPRECATED)"/>
    <s v="São Carlos, BR"/>
    <s v="26"/>
    <s v="6"/>
    <s v="Customer Success"/>
    <s v="Upsell"/>
    <s v="04/2026"/>
    <s v=""/>
  </r>
  <r>
    <s v="OPP-10070"/>
    <s v="ACC-1031"/>
    <x v="17"/>
    <s v="Queila Ribeiro"/>
    <s v="Nova Studios - DDM - Data - Services &amp; Tech - Services (Analytics &amp; Support) - 04/2026"/>
    <s v="Change Order/Upsell"/>
    <x v="0"/>
    <n v="594455.31000000006"/>
    <s v="BRL"/>
    <n v="206541.72"/>
    <s v="BRL"/>
    <s v="DDM - Media - Creative"/>
    <d v="2026-04-30T00:00:00"/>
    <d v="2025-12-15T00:00:00"/>
    <s v="Inbound - Current Client (DEPRECATED)"/>
    <s v="São Carlos, BR"/>
    <s v="26"/>
    <s v="3"/>
    <s v="Customer Success"/>
    <s v="Upsell"/>
    <s v="04/2026"/>
    <s v=""/>
  </r>
  <r>
    <s v="OPP-10080"/>
    <s v="ACC-1031"/>
    <x v="17"/>
    <s v="Queila Ribeiro"/>
    <s v="Nova Studios - DDM - Media - Activation - Platforms Reselling - 04/2026"/>
    <s v="Change Order/Upsell"/>
    <x v="2"/>
    <n v="39230.949999999997"/>
    <s v="BRL"/>
    <n v="39230.949999999997"/>
    <s v="BRL"/>
    <s v="DDM - Media - Creative"/>
    <d v="2026-03-02T00:00:00"/>
    <d v="2025-12-19T00:00:00"/>
    <s v="Inbound - Current Client (DEPRECATED)"/>
    <s v="São Carlos, BR"/>
    <s v="70"/>
    <s v="1"/>
    <s v="Customer Success"/>
    <s v="Upsell"/>
    <s v="03/2026"/>
    <n v="73"/>
  </r>
  <r>
    <s v="OPP-10011"/>
    <s v="ACC-1025"/>
    <x v="101"/>
    <s v="Amanda Rios"/>
    <s v="Nutmeg Gaming - DDM - Media - Creative - 02/2026"/>
    <s v="Change Order/Upsell"/>
    <x v="2"/>
    <n v="180000"/>
    <s v="BRL"/>
    <n v="108000"/>
    <s v="BRL"/>
    <s v="DDM - Media - Creative"/>
    <d v="2026-09-02T00:00:00"/>
    <d v="2025-08-29T00:00:00"/>
    <s v="Inbound - Current Client (DEPRECATED)"/>
    <s v="São Carlos, BR"/>
    <s v="64"/>
    <s v="12"/>
    <s v="Customer Success"/>
    <s v="Upsell"/>
    <s v="09/2026"/>
    <n v="369"/>
  </r>
  <r>
    <s v="OPP-10131"/>
    <s v="ACC-1033"/>
    <x v="46"/>
    <s v="Amanda Rios"/>
    <s v="Onyx Utilities - DDM - Media - Creative - 05/2026"/>
    <s v="Change Order/Upsell"/>
    <x v="1"/>
    <n v="1096669.2"/>
    <s v="BRL"/>
    <n v="1096669.2"/>
    <s v="BRL"/>
    <s v="DDM - Media - Creative"/>
    <d v="2026-05-31T00:00:00"/>
    <d v="2026-12-02T00:00:00"/>
    <s v="Inbound - Current Client (DEPRECATED)"/>
    <s v="Votorantim, BR"/>
    <s v="47"/>
    <s v="12"/>
    <s v="Customer Success"/>
    <s v="Upsell"/>
    <s v="05/2026"/>
    <s v=""/>
  </r>
  <r>
    <s v="OPP-10124"/>
    <s v="ACC-1040"/>
    <x v="47"/>
    <s v="Sofia Guimaraes"/>
    <s v="Quartz Pharma -  - 06/2026"/>
    <s v="Change Order/Upsell"/>
    <x v="4"/>
    <n v="845252.85"/>
    <s v="BRL"/>
    <n v="704595.14"/>
    <s v="BRL"/>
    <s v="DDM - Media - Creative"/>
    <d v="2026-06-30T00:00:00"/>
    <d v="2026-06-02T00:00:00"/>
    <s v="Inbound - Current Client (DEPRECATED)"/>
    <s v="São Carlos, BR"/>
    <s v="36"/>
    <s v="12"/>
    <s v="Customer Success"/>
    <s v="Upsell"/>
    <s v="06/2026"/>
    <s v=""/>
  </r>
  <r>
    <s v="OPP-10124"/>
    <s v="ACC-1040"/>
    <x v="47"/>
    <s v="Sofia Guimaraes"/>
    <s v="Quartz Pharma - Content - Social - AOR - 06/2026"/>
    <s v="Change Order/Upsell"/>
    <x v="4"/>
    <n v="845252.85"/>
    <s v="BRL"/>
    <n v="19950"/>
    <s v="BRL"/>
    <s v="DDM - Media - Creative"/>
    <d v="2026-06-30T00:00:00"/>
    <d v="2026-06-02T00:00:00"/>
    <s v="Inbound - Current Client (DEPRECATED)"/>
    <s v="São Carlos, BR"/>
    <s v="36"/>
    <s v="12"/>
    <s v="Customer Success"/>
    <s v="Upsell"/>
    <s v="06/2026"/>
    <s v=""/>
  </r>
  <r>
    <s v="OPP-10164"/>
    <s v="ACC-1036"/>
    <x v="52"/>
    <s v="Pedro Martins"/>
    <s v="Rowan Energy - DDM - Data - Services &amp; Tech - Services (Data Science/Data Eng.) - 05/2026"/>
    <s v="Change Order/Upsell"/>
    <x v="2"/>
    <n v="274209.96999999997"/>
    <s v="BRL"/>
    <n v="30382.46"/>
    <s v="BRL"/>
    <s v="DDM - Media - Creative"/>
    <d v="2026-05-03T00:00:00"/>
    <d v="2026-05-03T00:00:00"/>
    <s v="Inbound - Current Client (DEPRECATED)"/>
    <s v="Votorantim, BR"/>
    <s v="40"/>
    <s v="1"/>
    <s v="Customer Success"/>
    <s v="Upsell"/>
    <s v="05/2026"/>
    <s v=""/>
  </r>
  <r>
    <s v="OPP-10044"/>
    <s v="ACC-1063"/>
    <x v="23"/>
    <s v="Ana Silva"/>
    <s v="Saffron Fashion - DDM - Media - Managed Media (AOR) - 01/2026"/>
    <s v="Change Order/Upsell"/>
    <x v="2"/>
    <n v="2518147.83"/>
    <s v="BRL"/>
    <n v="550471.68000000005"/>
    <s v="BRL"/>
    <s v="DDM - Media - Creative"/>
    <d v="2026-12-01T00:00:00"/>
    <d v="2025-11-14T00:00:00"/>
    <s v="Inbound - Current Client (DEPRECATED)"/>
    <s v="São Carlos, BR"/>
    <s v="92"/>
    <s v="12"/>
    <s v="Customer Success"/>
    <s v="Upsell"/>
    <s v="12/2026"/>
    <n v="382"/>
  </r>
  <r>
    <s v="OPP-10072"/>
    <s v="ACC-1063"/>
    <x v="23"/>
    <s v="Ana Silva"/>
    <s v="Saffron Fashion - DDM - Media - Managed Media (AOR) - 01/2026"/>
    <s v="Flex/Renewal"/>
    <x v="2"/>
    <n v="6770269.9100000001"/>
    <s v="BRL"/>
    <n v="911038.48"/>
    <s v="BRL"/>
    <s v="DDM - Media - Creative"/>
    <d v="2026-01-27T00:00:00"/>
    <d v="2025-12-15T00:00:00"/>
    <s v="Inbound - Current Client (DEPRECATED)"/>
    <s v="São Carlos, BR"/>
    <s v="77"/>
    <s v="12"/>
    <s v="Customer Success"/>
    <s v="Upsell"/>
    <s v="01/2026"/>
    <n v="43"/>
  </r>
  <r>
    <s v="OPP-10023"/>
    <s v="ACC-1038"/>
    <x v="81"/>
    <s v="Pedro Martins"/>
    <s v="Sumac Telecom - DDM - Media - Creative - 03/2026"/>
    <s v="Flex/Renewal"/>
    <x v="2"/>
    <n v="1758176.04"/>
    <s v="BRL"/>
    <n v="253104"/>
    <s v="BRL"/>
    <s v="DDM - Media - Creative"/>
    <d v="2026-09-03T00:00:00"/>
    <d v="2025-09-10T00:00:00"/>
    <s v="Inbound - Current Client (DEPRECATED)"/>
    <s v="Votorantim, BR"/>
    <s v="36"/>
    <s v="12"/>
    <s v="Customer Success"/>
    <s v="Upsell"/>
    <s v="09/2026"/>
    <n v="358"/>
  </r>
  <r>
    <s v="OPP-10213"/>
    <s v="ACC-1006"/>
    <x v="27"/>
    <s v="Felipe Lima"/>
    <s v="Willow Beauty - Content - Platform - Performance, SEO, CRM &amp; Loyalty - 06/2026"/>
    <s v="Change Order/Upsell"/>
    <x v="0"/>
    <n v="139766.74"/>
    <s v="BRL"/>
    <n v="75060.7"/>
    <s v="BRL"/>
    <s v="DDM - Media - Creative"/>
    <d v="2026-04-29T00:00:00"/>
    <d v="2026-03-30T00:00:00"/>
    <s v="Referral - S4 Company"/>
    <s v="Votorantim, BR"/>
    <s v="14"/>
    <s v="1"/>
    <s v="Referral"/>
    <s v="Upsell"/>
    <s v="04/2026"/>
    <s v=""/>
  </r>
  <r>
    <s v="OPP-10143"/>
    <s v="ACC-1028"/>
    <x v="53"/>
    <s v="Bernardo Castro"/>
    <s v="Xenon Realty - DDM - Media - Creative - 05/2026"/>
    <s v="Change Order/Upsell"/>
    <x v="3"/>
    <n v="694094.88"/>
    <s v="BRL"/>
    <n v="401671.67999999999"/>
    <s v="BRL"/>
    <s v="DDM - Media - Creative"/>
    <d v="2026-05-31T00:00:00"/>
    <d v="2026-02-19T00:00:00"/>
    <s v="Inbound - Current Client (DEPRECATED)"/>
    <s v="Votorantim, BR"/>
    <s v="33"/>
    <s v="12"/>
    <s v="Customer Success"/>
    <s v="Upsell"/>
    <s v="05/2026"/>
    <s v=""/>
  </r>
  <r>
    <s v="OPP-10239"/>
    <s v="ACC-1028"/>
    <x v="53"/>
    <s v="Bernardo Castro"/>
    <s v="Xenon Realty - DDM - Media - Creative - 05/2026"/>
    <s v="Change Order/Upsell"/>
    <x v="3"/>
    <n v="57594.2"/>
    <s v="BRL"/>
    <n v="57594.2"/>
    <s v="BRL"/>
    <s v="DDM - Media - Creative"/>
    <d v="2026-09-05T00:00:00"/>
    <d v="2026-09-04T00:00:00"/>
    <s v="Existing Client - Account/Growth Activity"/>
    <s v="Votorantim, BR"/>
    <s v="4"/>
    <s v="2"/>
    <s v="Customer Success"/>
    <s v="Upsell"/>
    <s v="09/2026"/>
    <s v=""/>
  </r>
  <r>
    <s v="OPP-10051"/>
    <s v="ACC-1044"/>
    <x v="54"/>
    <s v="Carla Mendes"/>
    <s v="Yerba Studios - DDM - Media - Creative - 01/2026"/>
    <s v="Flex/Renewal"/>
    <x v="2"/>
    <n v="760000"/>
    <s v="BRL"/>
    <n v="164250"/>
    <s v="BRL"/>
    <s v="DDM - Media - Creative"/>
    <d v="2026-01-27T00:00:00"/>
    <d v="2025-11-26T00:00:00"/>
    <s v="Inbound - Current Client (DEPRECATED)"/>
    <s v="São Carlos, BR"/>
    <s v="77"/>
    <s v="12"/>
    <s v="Customer Success"/>
    <s v="Upsell"/>
    <s v="01/2026"/>
    <n v="62"/>
  </r>
  <r>
    <s v="OPP-10076"/>
    <s v="ACC-1044"/>
    <x v="54"/>
    <s v="Carla Mendes"/>
    <s v="Yerba Studios - DDM - Media - Creative - 01/2026"/>
    <s v="Change Order/Upsell"/>
    <x v="2"/>
    <n v="10784"/>
    <s v="BRL"/>
    <n v="5392"/>
    <s v="BRL"/>
    <s v="DDM - Media - Creative"/>
    <d v="2026-01-27T00:00:00"/>
    <d v="2025-12-18T00:00:00"/>
    <s v="Inbound - Current Client (DEPRECATED)"/>
    <s v="São Carlos, BR"/>
    <s v="77"/>
    <s v="12"/>
    <s v="Customer Success"/>
    <s v="Upsell"/>
    <s v="01/2026"/>
    <n v="40"/>
  </r>
  <r>
    <s v="OPP-10048"/>
    <s v="ACC-1106"/>
    <x v="62"/>
    <s v="Joao Pereira"/>
    <s v="Yucca Farms - DDM - Media - Creative - 03/2026"/>
    <s v="Project - Competitive"/>
    <x v="2"/>
    <n v="195525"/>
    <s v="BRL"/>
    <n v="51574.92"/>
    <s v="BRL"/>
    <s v="DDM - Media - Creative"/>
    <d v="2026-03-31T00:00:00"/>
    <d v="2025-11-26T00:00:00"/>
    <s v="Referral - Personal"/>
    <s v="Votorantim, BR"/>
    <s v="14"/>
    <s v="3"/>
    <s v="Referral"/>
    <s v="New Business"/>
    <s v="03/2026"/>
    <n v="125"/>
  </r>
  <r>
    <s v="OPP-10172"/>
    <s v="ACC-1085"/>
    <x v="31"/>
    <s v="Felipe Lima"/>
    <s v="Yumberry Mobile - DDM - Media - Creative - 05/2026"/>
    <s v="Project - Competitive"/>
    <x v="3"/>
    <n v="835250.32000000007"/>
    <s v="BRL"/>
    <n v="278294.40000000002"/>
    <s v="BRL"/>
    <s v="DDM - Media - Creative"/>
    <d v="2026-05-13T00:00:00"/>
    <d v="2026-11-03T00:00:00"/>
    <s v="Referral - Internal"/>
    <s v="São Carlos, BR"/>
    <s v="25"/>
    <s v="12"/>
    <s v="Referral"/>
    <s v="New Business"/>
    <s v="05/2026"/>
    <s v=""/>
  </r>
  <r>
    <s v="OPP-10008"/>
    <s v="ACC-1015"/>
    <x v="84"/>
    <s v="Ana Silva"/>
    <s v="Zinnia Apparel - DDM - Media - Creative - 03/2026"/>
    <s v="Flex/Renewal"/>
    <x v="2"/>
    <n v="2706200.27"/>
    <s v="BRL"/>
    <n v="70270.64"/>
    <s v="BRL"/>
    <s v="DDM - Media - Creative"/>
    <d v="2026-03-31T00:00:00"/>
    <d v="2025-08-22T00:00:00"/>
    <s v="Inbound - Current Client (DEPRECATED)"/>
    <s v="São Carlos, BR"/>
    <s v="14"/>
    <s v="12"/>
    <s v="Customer Success"/>
    <s v="Upsell"/>
    <s v="03/2026"/>
    <n v="221"/>
  </r>
  <r>
    <s v="OPP-10150"/>
    <s v="ACC-1037"/>
    <x v="0"/>
    <s v="Bruno Costa"/>
    <s v="Acacia Telecom - Content - Social - AOR - 03/2026"/>
    <s v="Change Order/Upsell"/>
    <x v="0"/>
    <n v="601599.48"/>
    <s v="BRL"/>
    <n v="474051.84000000003"/>
    <s v="BRL"/>
    <s v="DDM - Media - Managed Media (AOR)"/>
    <d v="2026-04-30T00:00:00"/>
    <d v="2026-02-26T00:00:00"/>
    <s v="Inbound - Current Client (DEPRECATED)"/>
    <s v="São Carlos, BR"/>
    <s v="42"/>
    <s v="12"/>
    <s v="Customer Success"/>
    <s v="Upsell"/>
    <s v="04/2026"/>
    <s v=""/>
  </r>
  <r>
    <s v="OPP-10175"/>
    <s v="ACC-1007"/>
    <x v="72"/>
    <s v="Daniel Moura"/>
    <s v="Anise Beauty - DDM - Media - Managed Media (AOR) - 05/2026"/>
    <s v="Change Order/Upsell"/>
    <x v="3"/>
    <n v="1302107.45"/>
    <s v="BRL"/>
    <n v="1036486.24"/>
    <s v="BRL"/>
    <s v="DDM - Media - Managed Media (AOR)"/>
    <d v="2026-05-31T00:00:00"/>
    <d v="2026-11-03T00:00:00"/>
    <s v="Don't Know/Other (DEPRECATED)"/>
    <s v="Votorantim, BR"/>
    <s v="15"/>
    <s v="12"/>
    <s v="Unknown"/>
    <s v="Upsell"/>
    <s v="05/2026"/>
    <s v=""/>
  </r>
  <r>
    <s v="OPP-10015"/>
    <s v="ACC-1064"/>
    <x v="1"/>
    <s v="Daniel Moura"/>
    <s v="Arrow Construction - DDM - Media - Managed Media (AOR) - 01/2026"/>
    <s v="Flex/Renewal"/>
    <x v="2"/>
    <n v="106500"/>
    <s v="BRL"/>
    <n v="106500"/>
    <s v="BRL"/>
    <s v="DDM - Media - Managed Media (AOR)"/>
    <d v="2026-01-22T00:00:00"/>
    <d v="2025-09-19T00:00:00"/>
    <s v="Inbound - Current Client (DEPRECATED)"/>
    <s v="São Carlos, BR"/>
    <s v="82"/>
    <s v="12"/>
    <s v="Customer Success"/>
    <s v="Upsell"/>
    <s v="01/2026"/>
    <n v="125"/>
  </r>
  <r>
    <s v="OPP-10026"/>
    <s v="ACC-1064"/>
    <x v="1"/>
    <s v="Daniel Moura"/>
    <s v="Arrow Construction - DDM - Media - Managed Media (AOR) - 01/2026"/>
    <s v="Flex/Renewal"/>
    <x v="2"/>
    <n v="247500"/>
    <s v="BRL"/>
    <n v="247500"/>
    <s v="BRL"/>
    <s v="DDM - Media - Managed Media (AOR)"/>
    <d v="2026-01-31T00:00:00"/>
    <d v="2025-10-16T00:00:00"/>
    <s v="Inbound - Current Client (DEPRECATED)"/>
    <s v="São Carlos, BR"/>
    <s v="71"/>
    <s v="3"/>
    <s v="Customer Success"/>
    <s v="Upsell"/>
    <s v="01/2026"/>
    <n v="107"/>
  </r>
  <r>
    <s v="OPP-10161"/>
    <s v="ACC-1064"/>
    <x v="1"/>
    <s v="Daniel Moura"/>
    <s v="Arrow Construction - DDM - Media - Managed Media (AOR) - 01/2026"/>
    <s v="Change Order/Upsell"/>
    <x v="0"/>
    <n v="1438053.84"/>
    <s v="BRL"/>
    <n v="1438053.84"/>
    <s v="BRL"/>
    <s v="DDM - Media - Managed Media (AOR)"/>
    <d v="2026-04-30T00:00:00"/>
    <d v="2026-04-03T00:00:00"/>
    <s v="Inbound - Current Client (DEPRECATED)"/>
    <s v="Votorantim, BR"/>
    <s v="41"/>
    <s v="12"/>
    <s v="Customer Success"/>
    <s v="Upsell"/>
    <s v="04/2026"/>
    <s v=""/>
  </r>
  <r>
    <s v="OPP-10134"/>
    <s v="ACC-1064"/>
    <x v="1"/>
    <s v="Daniel Moura"/>
    <s v="Arrow Construction - DDM - Media - Managed Media (AOR) - 01/2026"/>
    <s v="Change Order/Upsell"/>
    <x v="1"/>
    <n v="1429074.08"/>
    <s v="BRL"/>
    <n v="117901.4"/>
    <s v="BRL"/>
    <s v="DDM - Media - Managed Media (AOR)"/>
    <d v="2026-05-29T00:00:00"/>
    <d v="2026-02-13T00:00:00"/>
    <s v="Inbound - Current Client (DEPRECATED)"/>
    <s v="São Carlos, BR"/>
    <s v="33"/>
    <s v="12"/>
    <s v="Customer Success"/>
    <s v="Upsell"/>
    <s v="05/2026"/>
    <s v=""/>
  </r>
  <r>
    <s v="OPP-10053"/>
    <s v="ACC-1064"/>
    <x v="1"/>
    <s v="Daniel Moura"/>
    <s v="Arrow Construction - DDM - CRM - Other - 05/2026"/>
    <s v="Change Order/Upsell"/>
    <x v="0"/>
    <n v="235251.12000000002"/>
    <s v="BRL"/>
    <n v="187259.89"/>
    <s v="BRL"/>
    <s v="DDM - Media - Managed Media (AOR)"/>
    <d v="2026-05-31T00:00:00"/>
    <d v="2025-11-28T00:00:00"/>
    <s v="Inbound - Current Client (DEPRECATED)"/>
    <s v="Votorantim, BR"/>
    <s v="69"/>
    <s v="12"/>
    <s v="Customer Success"/>
    <s v="Upsell"/>
    <s v="05/2026"/>
    <s v=""/>
  </r>
  <r>
    <s v="OPP-10028"/>
    <s v="ACC-1064"/>
    <x v="1"/>
    <s v="Daniel Moura"/>
    <s v="Arrow Construction - DDM - Media - Managed Media (AOR) - 04/2026"/>
    <s v="Change Order/Upsell"/>
    <x v="2"/>
    <n v="112013.46"/>
    <s v="BRL"/>
    <n v="112013.46"/>
    <s v="BRL"/>
    <s v="DDM - Media - Managed Media (AOR)"/>
    <d v="2026-01-30T00:00:00"/>
    <d v="2025-10-23T00:00:00"/>
    <s v="Inbound - Current Client (DEPRECATED)"/>
    <s v="São Carlos, BR"/>
    <s v="74"/>
    <s v="6"/>
    <s v="Customer Success"/>
    <s v="Upsell"/>
    <s v="01/2026"/>
    <n v="99"/>
  </r>
  <r>
    <s v="OPP-10018"/>
    <s v="ACC-1064"/>
    <x v="1"/>
    <s v="Daniel Moura"/>
    <s v="Arrow Construction -  - 06/2026"/>
    <s v="Change Order/Upsell"/>
    <x v="2"/>
    <n v="88500"/>
    <s v="BRL"/>
    <n v="88500"/>
    <s v="BRL"/>
    <s v="DDM - Media - Managed Media (AOR)"/>
    <d v="2026-01-22T00:00:00"/>
    <d v="2025-09-26T00:00:00"/>
    <s v="Inbound - Current Client (DEPRECATED)"/>
    <s v="São Carlos, BR"/>
    <s v="82"/>
    <s v="12"/>
    <s v="Customer Success"/>
    <s v="Upsell"/>
    <s v="01/2026"/>
    <n v="118"/>
  </r>
  <r>
    <s v="OPP-10202"/>
    <s v="ACC-1064"/>
    <x v="1"/>
    <s v="Daniel Moura"/>
    <s v="Arrow Construction - DDM - Media - Creative - 06/2026"/>
    <s v="Change Order/Upsell"/>
    <x v="6"/>
    <n v="0"/>
    <s v="BRL"/>
    <n v="0"/>
    <s v="BRL"/>
    <s v="DDM - Media - Managed Media (AOR)"/>
    <d v="2026-06-30T00:00:00"/>
    <d v="2026-03-26T00:00:00"/>
    <s v="MH Lead (DEPRECATED)"/>
    <s v="Votorantim, BR"/>
    <s v="19"/>
    <s v="12"/>
    <s v="Unknown"/>
    <s v="Upsell"/>
    <s v="06/2026"/>
    <s v=""/>
  </r>
  <r>
    <s v="OPP-10040"/>
    <s v="ACC-1059"/>
    <x v="65"/>
    <s v="Amanda Rios"/>
    <s v="Basalt Mining - DDM - Media - Managed Media (AOR) - 01/2026"/>
    <s v="Flex/Renewal"/>
    <x v="2"/>
    <n v="253579.55"/>
    <s v="BRL"/>
    <n v="101137.49"/>
    <s v="BRL"/>
    <s v="DDM - Media - Managed Media (AOR)"/>
    <d v="2026-01-31T00:00:00"/>
    <d v="2025-11-14T00:00:00"/>
    <s v="Inbound - Current Client (DEPRECATED)"/>
    <s v="São Carlos, BR"/>
    <s v="69"/>
    <s v="1"/>
    <s v="Customer Success"/>
    <s v="Upsell"/>
    <s v="01/2026"/>
    <n v="78"/>
  </r>
  <r>
    <s v="OPP-10090"/>
    <s v="ACC-1059"/>
    <x v="65"/>
    <s v="Amanda Rios"/>
    <s v="Basalt Mining - DDM - Media - Managed Media (AOR) - 05/2026"/>
    <s v="Flex/Renewal"/>
    <x v="3"/>
    <n v="2132708.1"/>
    <s v="BRL"/>
    <n v="303403.38"/>
    <s v="BRL"/>
    <s v="DDM - Media - Managed Media (AOR)"/>
    <d v="2026-05-31T00:00:00"/>
    <d v="2026-12-01T00:00:00"/>
    <s v="Inbound - Current Client (DEPRECATED)"/>
    <s v="São Carlos, BR"/>
    <s v="8"/>
    <s v="12"/>
    <s v="Customer Success"/>
    <s v="Upsell"/>
    <s v="05/2026"/>
    <s v=""/>
  </r>
  <r>
    <s v="OPP-10259"/>
    <s v="ACC-1002"/>
    <x v="102"/>
    <s v="Gabriela Nunes"/>
    <s v="Birch Studios - DDM - Media - Managed Media (AOR) - 05/2026"/>
    <m/>
    <x v="5"/>
    <n v="370000"/>
    <s v="USD"/>
    <n v="370000"/>
    <s v="USD"/>
    <s v="DDM - Media - Managed Media (AOR)"/>
    <d v="2026-05-31T00:00:00"/>
    <d v="2026-04-14T00:00:00"/>
    <s v="Existing Client - Account/Growth Activity"/>
    <s v="São Carlos, BR"/>
    <s v="1"/>
    <s v="12"/>
    <s v="Customer Success"/>
    <s v="Upsell"/>
    <s v="05/2026"/>
    <s v=""/>
  </r>
  <r>
    <s v="OPP-10027"/>
    <s v="ACC-1109"/>
    <x v="39"/>
    <s v="Lucas Almeida"/>
    <s v="Bluefin Logistics - DDM - Media - Managed Media (AOR) - 06/2026"/>
    <s v="Retainer"/>
    <x v="1"/>
    <n v="36000"/>
    <s v="BRL"/>
    <n v="12000"/>
    <s v="BRL"/>
    <s v="DDM - Media - Managed Media (AOR)"/>
    <d v="2026-06-29T00:00:00"/>
    <d v="2025-10-20T00:00:00"/>
    <s v="Inbound - Website - Media.Monks (DEPRECATED)"/>
    <s v="São Carlos, BR"/>
    <s v="76"/>
    <s v="12"/>
    <s v="Inbound"/>
    <s v="Upsell"/>
    <s v="06/2026"/>
    <s v=""/>
  </r>
  <r>
    <s v="OPP-10110"/>
    <s v="ACC-1062"/>
    <x v="3"/>
    <s v="Daniel Moura"/>
    <s v="Cedar Foods - DDM - Media - Managed Media (AOR) - 06/2026"/>
    <s v="Change Order/Upsell"/>
    <x v="1"/>
    <n v="4565828.57"/>
    <s v="BRL"/>
    <n v="1423654.78"/>
    <s v="BRL"/>
    <s v="DDM - Media - Managed Media (AOR)"/>
    <d v="2026-06-30T00:00:00"/>
    <d v="2026-01-26T00:00:00"/>
    <s v="Inbound - Current Client (DEPRECATED)"/>
    <s v="Votorantim, BR"/>
    <s v="33"/>
    <s v="12"/>
    <s v="Customer Success"/>
    <s v="Upsell"/>
    <s v="06/2026"/>
    <s v=""/>
  </r>
  <r>
    <s v="OPP-10049"/>
    <s v="ACC-1107"/>
    <x v="40"/>
    <s v="Xavier Correia"/>
    <s v="Cobalt SaaS - DDM - Media - Managed Media (AOR) - 01/2026"/>
    <s v="Project - Not Competitive"/>
    <x v="2"/>
    <n v="1680000"/>
    <s v="BRL"/>
    <n v="1680000"/>
    <s v="BRL"/>
    <s v="DDM - Media - Managed Media (AOR)"/>
    <d v="2026-01-14T00:00:00"/>
    <d v="2025-11-26T00:00:00"/>
    <s v="Referral - Personal"/>
    <s v="Votorantim, BR"/>
    <s v="90"/>
    <s v="12"/>
    <s v="Referral"/>
    <s v="New Business"/>
    <s v="01/2026"/>
    <n v="49"/>
  </r>
  <r>
    <s v="OPP-10099"/>
    <s v="ACC-1112"/>
    <x v="4"/>
    <s v="Xavier Correia"/>
    <s v="Company 111 - DDM - Media - Managed Media (AOR) - 02/2026"/>
    <s v="Project - Competitive"/>
    <x v="2"/>
    <n v="4293965.2399999993"/>
    <s v="BRL"/>
    <n v="2320969.56"/>
    <s v="BRL"/>
    <s v="DDM - Media - Managed Media (AOR)"/>
    <d v="2026-02-27T00:00:00"/>
    <d v="2026-01-20T00:00:00"/>
    <s v="Referral - S4 Company"/>
    <s v="São Carlos, BR"/>
    <s v="46"/>
    <s v="12"/>
    <s v="Referral"/>
    <s v="New Business"/>
    <s v="02/2026"/>
    <n v="38"/>
  </r>
  <r>
    <s v="OPP-10205"/>
    <s v="ACC-1114"/>
    <x v="103"/>
    <s v="Wanda Borges"/>
    <s v="Company 113 -  - 07/2026"/>
    <s v="Project - Competitive"/>
    <x v="0"/>
    <n v="171761.3"/>
    <s v="BRL"/>
    <n v="171761.3"/>
    <s v="BRL"/>
    <s v="DDM - Media - Managed Media (AOR)"/>
    <d v="2026-04-26T00:00:00"/>
    <d v="2026-03-27T00:00:00"/>
    <s v="Referral - S4 Company"/>
    <s v="São Paulo, BR"/>
    <s v="15"/>
    <s v="10"/>
    <s v="Referral"/>
    <s v="New Business"/>
    <s v="04/2026"/>
    <s v=""/>
  </r>
  <r>
    <s v="OPP-10242"/>
    <s v="ACC-1115"/>
    <x v="5"/>
    <s v="Xavier Correia"/>
    <s v="Company 114 - DDM - Media - Managed Media (AOR) - 06/2026"/>
    <s v="Project - Competitive"/>
    <x v="1"/>
    <n v="877063.2"/>
    <s v="BRL"/>
    <n v="416671.2"/>
    <s v="BRL"/>
    <s v="DDM - Media - Managed Media (AOR)"/>
    <d v="2026-06-30T00:00:00"/>
    <d v="2026-10-04T00:00:00"/>
    <s v="MH Lead (DEPRECATED)"/>
    <s v="Votorantim, BR"/>
    <s v="4"/>
    <s v="12"/>
    <s v="Unknown"/>
    <s v="New Business"/>
    <s v="06/2026"/>
    <s v=""/>
  </r>
  <r>
    <s v="OPP-10146"/>
    <s v="ACC-1116"/>
    <x v="104"/>
    <s v="Lucas Almeida"/>
    <s v="Company 115 - DDM - Media - Managed Media (AOR) - 05/2026"/>
    <s v="Project - Not Competitive"/>
    <x v="5"/>
    <n v="935328"/>
    <s v="BRL"/>
    <n v="935328"/>
    <s v="BRL"/>
    <s v="DDM - Media - Managed Media (AOR)"/>
    <d v="2026-05-18T00:00:00"/>
    <d v="2026-02-23T00:00:00"/>
    <s v="Referral - Internal"/>
    <s v="São Carlos, BR"/>
    <s v="50"/>
    <s v="12"/>
    <s v="Referral"/>
    <s v="New Business"/>
    <s v="05/2026"/>
    <s v=""/>
  </r>
  <r>
    <s v="OPP-10154"/>
    <s v="ACC-1119"/>
    <x v="6"/>
    <s v="Wanda Borges"/>
    <s v="Company 118 - DDM - Media - Managed Media (AOR) - 05/2026"/>
    <s v="Project - Competitive"/>
    <x v="1"/>
    <n v="2344909.7999999998"/>
    <s v="BRL"/>
    <n v="321776.88"/>
    <s v="BRL"/>
    <s v="DDM - Media - Managed Media (AOR)"/>
    <d v="2026-05-29T00:00:00"/>
    <d v="2026-02-27T00:00:00"/>
    <s v="Inbound - Website - Media.Monks (DEPRECATED)"/>
    <s v="Votorantim, BR"/>
    <s v="15"/>
    <s v="12"/>
    <s v="Inbound"/>
    <s v="New Business"/>
    <s v="05/2026"/>
    <s v=""/>
  </r>
  <r>
    <s v="OPP-10173"/>
    <s v="ACC-1120"/>
    <x v="73"/>
    <s v="Felipe Lima"/>
    <s v="Company 119 - DDM - Media - Managed Media (AOR) - 05/2026"/>
    <s v="Project - Competitive"/>
    <x v="1"/>
    <n v="894521"/>
    <s v="BRL"/>
    <n v="574768.80000000005"/>
    <s v="BRL"/>
    <s v="DDM - Media - Managed Media (AOR)"/>
    <d v="2026-04-05T00:00:00"/>
    <d v="2026-11-03T00:00:00"/>
    <s v="Inbound - Website - Media.Monks (DEPRECATED)"/>
    <s v="São Carlos, BR"/>
    <s v="25"/>
    <s v="12"/>
    <s v="Inbound"/>
    <s v="New Business"/>
    <s v="04/2026"/>
    <s v=""/>
  </r>
  <r>
    <s v="OPP-10231"/>
    <s v="ACC-1122"/>
    <x v="33"/>
    <s v="Joao Pereira"/>
    <s v="Company 121 - Content - Platform - Website Creation &amp; Production - 05/2026"/>
    <s v="Project - Competitive"/>
    <x v="1"/>
    <n v="374000"/>
    <s v="BRL"/>
    <n v="354000"/>
    <s v="BRL"/>
    <s v="DDM - Media - Managed Media (AOR)"/>
    <d v="2026-08-05T00:00:00"/>
    <d v="2026-08-04T00:00:00"/>
    <s v="Referral - Personal"/>
    <s v="São Carlos, BR"/>
    <s v="4"/>
    <s v="12"/>
    <s v="Referral"/>
    <s v="New Business"/>
    <s v="08/2026"/>
    <s v=""/>
  </r>
  <r>
    <s v="OPP-10197"/>
    <s v="ACC-1123"/>
    <x v="105"/>
    <s v="Thiago Freitas"/>
    <s v="Company 122 - DDM - Media - Managed Media (AOR) - 05/2026"/>
    <s v="Project - Not Competitive"/>
    <x v="6"/>
    <n v="35000"/>
    <s v="BRL"/>
    <n v="35000"/>
    <s v="BRL"/>
    <s v="DDM - Media - Managed Media (AOR)"/>
    <d v="2026-05-31T00:00:00"/>
    <d v="2026-03-26T00:00:00"/>
    <s v="Inbound - Website - Media.Monks (DEPRECATED)"/>
    <s v="São Paulo, BR"/>
    <s v="1"/>
    <s v="3"/>
    <s v="Inbound"/>
    <s v="New Business"/>
    <s v="05/2026"/>
    <s v=""/>
  </r>
  <r>
    <s v="OPP-10145"/>
    <s v="ACC-1126"/>
    <x v="99"/>
    <s v="Xavier Correia"/>
    <s v="Company 125 - DDM - Media - Managed Media (AOR) - 04/2026"/>
    <s v="Project - Competitive"/>
    <x v="3"/>
    <n v="456000"/>
    <s v="BRL"/>
    <n v="420000"/>
    <s v="BRL"/>
    <s v="DDM - Media - Managed Media (AOR)"/>
    <d v="2026-04-30T00:00:00"/>
    <d v="2026-02-20T00:00:00"/>
    <s v="Referral - Personal"/>
    <s v="Votorantim, BR"/>
    <s v="13"/>
    <s v="12"/>
    <s v="Referral"/>
    <s v="New Business"/>
    <s v="04/2026"/>
    <s v=""/>
  </r>
  <r>
    <s v="OPP-10255"/>
    <s v="ACC-1128"/>
    <x v="41"/>
    <s v="Felipe Lima"/>
    <s v="Company 127 - DDM - Media - Managed Media (AOR) - 05/2026"/>
    <s v="Project - Competitive"/>
    <x v="5"/>
    <n v="0"/>
    <s v="BRL"/>
    <n v="0"/>
    <s v="BRL"/>
    <s v="DDM - Media - Managed Media (AOR)"/>
    <d v="2026-05-13T00:00:00"/>
    <d v="2026-04-13T00:00:00"/>
    <s v="Referral - Internal"/>
    <s v="São Carlos, BR"/>
    <s v="1"/>
    <m/>
    <s v="Referral"/>
    <s v="New Business"/>
    <s v="05/2026"/>
    <s v=""/>
  </r>
  <r>
    <s v="OPP-10038"/>
    <s v="ACC-1046"/>
    <x v="75"/>
    <s v="Wanda Borges"/>
    <s v="Cypress Air - DDM - Media - Managed Media (AOR) - 02/2026"/>
    <s v="Project - Competitive"/>
    <x v="2"/>
    <n v="589446.40999999992"/>
    <s v="BRL"/>
    <n v="548136.6"/>
    <s v="BRL"/>
    <s v="DDM - Media - Managed Media (AOR)"/>
    <d v="2026-02-27T00:00:00"/>
    <d v="2025-11-11T00:00:00"/>
    <s v="Inbound - Marketing (DEPRECATED)"/>
    <s v="Votorantim, BR"/>
    <s v="46"/>
    <s v="12"/>
    <s v="Inbound"/>
    <s v="New Business"/>
    <s v="02/2026"/>
    <n v="108"/>
  </r>
  <r>
    <s v="OPP-10052"/>
    <s v="ACC-1016"/>
    <x v="77"/>
    <s v="Pedro Martins"/>
    <s v="Elm Realty - DDM - Media - Managed Media (AOR) - 03/2026"/>
    <s v="Flex/Renewal"/>
    <x v="2"/>
    <n v="517703.16"/>
    <s v="BRL"/>
    <n v="420864.6"/>
    <s v="BRL"/>
    <s v="DDM - Media - Managed Media (AOR)"/>
    <d v="2026-03-23T00:00:00"/>
    <d v="2025-11-27T00:00:00"/>
    <s v="MH Lead (DEPRECATED)"/>
    <s v="Votorantim, BR"/>
    <s v="22"/>
    <s v="12"/>
    <s v="Unknown"/>
    <s v="Upsell"/>
    <s v="03/2026"/>
    <n v="116"/>
  </r>
  <r>
    <s v="OPP-10107"/>
    <s v="ACC-1016"/>
    <x v="77"/>
    <s v="Pedro Martins"/>
    <s v="Elm Realty - DDM - Media - Managed Media (AOR) - 03/2026"/>
    <s v="Change Order/Upsell"/>
    <x v="2"/>
    <n v="164120.28"/>
    <s v="BRL"/>
    <n v="164120.28"/>
    <s v="BRL"/>
    <s v="DDM - Media - Managed Media (AOR)"/>
    <d v="2026-10-03T00:00:00"/>
    <d v="2026-01-23T00:00:00"/>
    <s v="Inbound - Current Client (DEPRECATED)"/>
    <s v="Votorantim, BR"/>
    <s v="35"/>
    <s v="12"/>
    <s v="Customer Success"/>
    <s v="Upsell"/>
    <s v="10/2026"/>
    <n v="253"/>
  </r>
  <r>
    <s v="OPP-10073"/>
    <s v="ACC-1016"/>
    <x v="77"/>
    <s v="Pedro Martins"/>
    <s v="Elm Realty - DDM - Data - Services &amp; Tech - Services (Analytics &amp; Support) - 03/2026"/>
    <s v="Change Order/Upsell"/>
    <x v="2"/>
    <n v="76299"/>
    <s v="BRL"/>
    <n v="76299"/>
    <s v="BRL"/>
    <s v="DDM - Media - Managed Media (AOR)"/>
    <d v="2026-03-23T00:00:00"/>
    <d v="2025-12-18T00:00:00"/>
    <s v="Inbound - Current Client (DEPRECATED)"/>
    <s v="Votorantim, BR"/>
    <s v="22"/>
    <s v="12"/>
    <s v="Customer Success"/>
    <s v="Upsell"/>
    <s v="03/2026"/>
    <n v="95"/>
  </r>
  <r>
    <s v="OPP-10191"/>
    <s v="ACC-1016"/>
    <x v="77"/>
    <s v="Pedro Martins"/>
    <s v="Elm Realty - DDM - Data - Services &amp; Tech - Services (Analytics &amp; Support) - 03/2026"/>
    <s v="Flex/Renewal"/>
    <x v="2"/>
    <n v="486654.96"/>
    <s v="BRL"/>
    <n v="389804.64"/>
    <s v="BRL"/>
    <s v="DDM - Media - Managed Media (AOR)"/>
    <d v="2026-03-20T00:00:00"/>
    <d v="2026-03-20T00:00:00"/>
    <s v="Inbound - Current Client (DEPRECATED)"/>
    <s v="Votorantim, BR"/>
    <s v="25"/>
    <s v="12"/>
    <s v="Customer Success"/>
    <s v="Upsell"/>
    <s v="03/2026"/>
    <s v=""/>
  </r>
  <r>
    <s v="OPP-10097"/>
    <s v="ACC-1014"/>
    <x v="78"/>
    <s v="Lucas Almeida"/>
    <s v="Fern Agriculture - DDM - Media - Managed Media (AOR) - 04/2026"/>
    <s v="Project - Not Competitive"/>
    <x v="0"/>
    <n v="1410000"/>
    <s v="BRL"/>
    <n v="934800"/>
    <s v="BRL"/>
    <s v="DDM - Media - Managed Media (AOR)"/>
    <d v="2026-04-13T00:00:00"/>
    <d v="2026-01-16T00:00:00"/>
    <s v="Inbound - Website - Media.Monks (DEPRECATED)"/>
    <s v="Votorantim, BR"/>
    <s v="21"/>
    <s v="12"/>
    <s v="Inbound"/>
    <s v="New Business"/>
    <s v="04/2026"/>
    <s v=""/>
  </r>
  <r>
    <s v="OPP-10176"/>
    <s v="ACC-1102"/>
    <x v="79"/>
    <s v="Daniel Moura"/>
    <s v="Fjord Travel - DDM - Media - Managed Media (AOR) - 05/2026"/>
    <s v="Change Order/Upsell"/>
    <x v="3"/>
    <n v="585915.63"/>
    <s v="BRL"/>
    <n v="466392.76"/>
    <s v="BRL"/>
    <s v="DDM - Media - Managed Media (AOR)"/>
    <d v="2026-05-31T00:00:00"/>
    <d v="2026-11-03T00:00:00"/>
    <s v="Don't Know/Other (DEPRECATED)"/>
    <s v="Votorantim, BR"/>
    <s v="15"/>
    <s v="12"/>
    <s v="Unknown"/>
    <s v="Upsell"/>
    <s v="05/2026"/>
    <s v=""/>
  </r>
  <r>
    <s v="OPP-10042"/>
    <s v="ACC-1072"/>
    <x v="106"/>
    <s v="Amanda Rios"/>
    <s v="Ginger Realty - DDM - Media - Managed Media (AOR) - 01/2026"/>
    <s v="Flex/Renewal"/>
    <x v="2"/>
    <n v="429774"/>
    <s v="BRL"/>
    <n v="429774"/>
    <s v="BRL"/>
    <s v="DDM - Media - Managed Media (AOR)"/>
    <d v="2026-01-15T00:00:00"/>
    <d v="2025-11-14T00:00:00"/>
    <s v="Inbound - Current Client (DEPRECATED)"/>
    <s v="Votorantim, BR"/>
    <s v="89"/>
    <s v="6"/>
    <s v="Customer Success"/>
    <s v="Upsell"/>
    <s v="01/2026"/>
    <n v="62"/>
  </r>
  <r>
    <s v="OPP-10245"/>
    <s v="ACC-1072"/>
    <x v="106"/>
    <s v="Amanda Rios"/>
    <s v="Ginger Realty - DDM - Media - Managed Media (AOR) - 07/2026"/>
    <s v="Flex/Renewal"/>
    <x v="6"/>
    <n v="406131.72"/>
    <s v="BRL"/>
    <n v="406131.72"/>
    <s v="BRL"/>
    <s v="DDM - Media - Managed Media (AOR)"/>
    <d v="2026-07-31T00:00:00"/>
    <d v="2026-10-04T00:00:00"/>
    <s v="Existing Client - Account/Growth Activity"/>
    <s v="Votorantim, BR"/>
    <s v="4"/>
    <s v="6"/>
    <s v="Customer Success"/>
    <s v="Upsell"/>
    <s v="07/2026"/>
    <s v=""/>
  </r>
  <r>
    <s v="OPP-10199"/>
    <s v="ACC-1048"/>
    <x v="107"/>
    <s v="Daniel Moura"/>
    <s v="Ginkgo Utilities - DDM - Media - Managed Media (AOR) - 06/2026"/>
    <s v="Change Order/Upsell"/>
    <x v="1"/>
    <n v="91615.13"/>
    <s v="BRL"/>
    <n v="91615.13"/>
    <s v="BRL"/>
    <s v="DDM - Media - Managed Media (AOR)"/>
    <d v="2026-06-30T00:00:00"/>
    <d v="2026-03-26T00:00:00"/>
    <s v="MH Lead (DEPRECATED)"/>
    <s v="Votorantim, BR"/>
    <s v="0"/>
    <s v="12"/>
    <s v="Unknown"/>
    <s v="Upsell"/>
    <s v="06/2026"/>
    <s v=""/>
  </r>
  <r>
    <s v="OPP-10093"/>
    <s v="ACC-1110"/>
    <x v="108"/>
    <s v="Lucas Almeida"/>
    <s v="Glacier Energy - DDM - Media - Managed Media (AOR) - 06/2026"/>
    <s v="Project - Competitive"/>
    <x v="1"/>
    <n v="391800"/>
    <s v="BRL"/>
    <n v="391800"/>
    <s v="BRL"/>
    <s v="DDM - Media - Managed Media (AOR)"/>
    <d v="2026-01-06T00:00:00"/>
    <d v="2026-01-13T00:00:00"/>
    <s v="Referral - Internal"/>
    <s v="Votorantim, BR"/>
    <s v="64"/>
    <s v="12"/>
    <s v="Referral"/>
    <s v="New Business"/>
    <s v="01/2026"/>
    <s v=""/>
  </r>
  <r>
    <s v="OPP-10036"/>
    <s v="ACC-1004"/>
    <x v="51"/>
    <s v="Carla Mendes"/>
    <s v="Harbor Grocers - DDM - Media - Managed Media (AOR) - 01/2026"/>
    <s v="Flex/Renewal"/>
    <x v="2"/>
    <n v="1038355.7999999999"/>
    <s v="BRL"/>
    <n v="600429.6"/>
    <s v="BRL"/>
    <s v="DDM - Media - Managed Media (AOR)"/>
    <d v="2026-01-14T00:00:00"/>
    <d v="2025-06-11T00:00:00"/>
    <s v="Inbound - Current Client (DEPRECATED)"/>
    <s v="São Carlos, BR"/>
    <s v="90"/>
    <s v="12"/>
    <s v="Customer Success"/>
    <s v="Upsell"/>
    <s v="01/2026"/>
    <n v="217"/>
  </r>
  <r>
    <s v="OPP-10075"/>
    <s v="ACC-1004"/>
    <x v="51"/>
    <s v="Carla Mendes"/>
    <s v="Harbor Grocers - DDM - Media - Creative - 01/2026"/>
    <s v="Change Order/Upsell"/>
    <x v="2"/>
    <n v="228000"/>
    <s v="BRL"/>
    <n v="228000"/>
    <s v="BRL"/>
    <s v="DDM - Media - Managed Media (AOR)"/>
    <d v="2026-05-01T00:00:00"/>
    <d v="2025-12-18T00:00:00"/>
    <s v="Inbound - Current Client (DEPRECATED)"/>
    <s v="São Carlos, BR"/>
    <s v="99"/>
    <s v="6"/>
    <s v="Customer Success"/>
    <s v="Upsell"/>
    <s v="05/2026"/>
    <n v="134"/>
  </r>
  <r>
    <s v="OPP-10066"/>
    <s v="ACC-1049"/>
    <x v="42"/>
    <s v="Bernardo Castro"/>
    <s v="Hazel Construction - Content - Social - AOR - 01/2026"/>
    <s v="Flex/Renewal"/>
    <x v="2"/>
    <n v="1546078.56"/>
    <s v="BRL"/>
    <n v="133226.4"/>
    <s v="BRL"/>
    <s v="DDM - Media - Managed Media (AOR)"/>
    <d v="2026-12-03T00:00:00"/>
    <d v="2025-08-12T00:00:00"/>
    <s v="Inbound - Current Client (DEPRECATED)"/>
    <s v="São Carlos, BR"/>
    <s v="33"/>
    <s v="12"/>
    <s v="Customer Success"/>
    <s v="Upsell"/>
    <s v="12/2026"/>
    <n v="478"/>
  </r>
  <r>
    <s v="OPP-10046"/>
    <s v="ACC-1049"/>
    <x v="42"/>
    <s v="Bernardo Castro"/>
    <s v="Hazel Construction - DDM - Data - Services &amp; Tech - Services (Analytics &amp; Support) - 03/2026"/>
    <s v="Change Order/Upsell"/>
    <x v="2"/>
    <n v="604944.24"/>
    <s v="BRL"/>
    <n v="117445.56"/>
    <s v="BRL"/>
    <s v="DDM - Media - Managed Media (AOR)"/>
    <d v="2026-02-25T00:00:00"/>
    <d v="2025-11-17T00:00:00"/>
    <s v="Inbound - Current Client (DEPRECATED)"/>
    <s v="São Carlos, BR"/>
    <s v="48"/>
    <s v="12"/>
    <s v="Customer Success"/>
    <s v="Upsell"/>
    <s v="02/2026"/>
    <n v="100"/>
  </r>
  <r>
    <s v="OPP-10185"/>
    <s v="ACC-1049"/>
    <x v="42"/>
    <s v="Bernardo Castro"/>
    <s v="Hazel Construction - Content - Social - AOR - 05/2026"/>
    <s v="Change Order/Upsell"/>
    <x v="0"/>
    <n v="3000"/>
    <s v="BRL"/>
    <n v="3000"/>
    <s v="BRL"/>
    <s v="DDM - Media - Managed Media (AOR)"/>
    <d v="2026-04-17T00:00:00"/>
    <d v="2026-03-18T00:00:00"/>
    <s v="Inbound - Current Client (DEPRECATED)"/>
    <s v="São Carlos, BR"/>
    <s v="14"/>
    <s v="1"/>
    <s v="Customer Success"/>
    <s v="Upsell"/>
    <s v="04/2026"/>
    <s v=""/>
  </r>
  <r>
    <s v="OPP-10060"/>
    <s v="ACC-1005"/>
    <x v="80"/>
    <s v="Lucas Almeida"/>
    <s v="Helios Tech - DDM - Media - Managed Media (AOR) - 04/2026"/>
    <s v="Project - Competitive"/>
    <x v="0"/>
    <n v="993642.36"/>
    <s v="BRL"/>
    <n v="593490.36"/>
    <s v="BRL"/>
    <s v="DDM - Media - Managed Media (AOR)"/>
    <d v="2026-10-04T00:00:00"/>
    <d v="2025-03-12T00:00:00"/>
    <s v="Don't Know/Other (DEPRECATED)"/>
    <s v="Votorantim, BR"/>
    <s v="21"/>
    <s v="12"/>
    <s v="Unknown"/>
    <s v="New Business"/>
    <s v="10/2026"/>
    <s v=""/>
  </r>
  <r>
    <s v="OPP-10168"/>
    <s v="ACC-1069"/>
    <x v="43"/>
    <s v="Bruno Costa"/>
    <s v="Honeysuckle Travel - DDM - Media - Managed Media (AOR) - 05/2026"/>
    <s v="Flex/Renewal"/>
    <x v="4"/>
    <n v="809225.34"/>
    <s v="BRL"/>
    <n v="335907.9"/>
    <s v="BRL"/>
    <s v="DDM - Media - Managed Media (AOR)"/>
    <d v="2026-05-31T00:00:00"/>
    <d v="2026-06-03T00:00:00"/>
    <s v="Inbound - Current Client (DEPRECATED)"/>
    <s v="São Carlos, BR"/>
    <s v="18"/>
    <s v="6"/>
    <s v="Customer Success"/>
    <s v="Upsell"/>
    <s v="05/2026"/>
    <s v=""/>
  </r>
  <r>
    <s v="OPP-10168"/>
    <s v="ACC-1069"/>
    <x v="43"/>
    <s v="Bruno Costa"/>
    <s v="Honeysuckle Travel - DDM - Media - Managed Media (AOR) - 05/2026"/>
    <s v="Flex/Renewal"/>
    <x v="4"/>
    <n v="809225.34"/>
    <s v="BRL"/>
    <n v="31595.88"/>
    <s v="BRL"/>
    <s v="DDM - Media - Managed Media (AOR)"/>
    <d v="2026-05-31T00:00:00"/>
    <d v="2026-06-03T00:00:00"/>
    <s v="Inbound - Current Client (DEPRECATED)"/>
    <s v="São Carlos, BR"/>
    <s v="18"/>
    <s v="6"/>
    <s v="Customer Success"/>
    <s v="Upsell"/>
    <s v="05/2026"/>
    <s v=""/>
  </r>
  <r>
    <s v="OPP-10167"/>
    <s v="ACC-1003"/>
    <x v="89"/>
    <s v="Bruno Costa"/>
    <s v="Ibis Mobility - DDM - Media - Managed Media (AOR) - 05/2026"/>
    <s v="Flex/Renewal"/>
    <x v="1"/>
    <n v="120000"/>
    <s v="BRL"/>
    <n v="120000"/>
    <s v="BRL"/>
    <s v="DDM - Media - Managed Media (AOR)"/>
    <d v="2026-05-31T00:00:00"/>
    <d v="2026-06-03T00:00:00"/>
    <s v="Inbound - Current Client (DEPRECATED)"/>
    <s v="São Paulo, BR"/>
    <s v="32"/>
    <s v="12"/>
    <s v="Customer Success"/>
    <s v="Upsell"/>
    <s v="05/2026"/>
    <s v=""/>
  </r>
  <r>
    <s v="OPP-10250"/>
    <s v="ACC-1018"/>
    <x v="109"/>
    <s v="Karina Oliveira"/>
    <s v="Ivy Cloud - DDM - Media - Managed Media (AOR) - 07/2026"/>
    <s v="Flex/Renewal"/>
    <x v="6"/>
    <n v="645960"/>
    <s v="BRL"/>
    <n v="645960"/>
    <s v="BRL"/>
    <s v="DDM - Media - Managed Media (AOR)"/>
    <d v="2026-07-31T00:00:00"/>
    <d v="2026-10-04T00:00:00"/>
    <s v="MH Lead (DEPRECATED)"/>
    <s v="Votorantim, BR"/>
    <s v="4"/>
    <s v="12"/>
    <s v="Unknown"/>
    <s v="Upsell"/>
    <s v="07/2026"/>
    <s v=""/>
  </r>
  <r>
    <s v="OPP-10050"/>
    <s v="ACC-1045"/>
    <x v="11"/>
    <s v="Felipe Lima"/>
    <s v="Jasper Security - DDM - Media - Managed Media (AOR) - 05/2026"/>
    <s v="Project - Competitive"/>
    <x v="3"/>
    <n v="6208423.2000000002"/>
    <s v="BRL"/>
    <n v="3334849.56"/>
    <s v="BRL"/>
    <s v="DDM - Media - Managed Media (AOR)"/>
    <d v="2026-05-13T00:00:00"/>
    <d v="2025-11-26T00:00:00"/>
    <s v="Referral - Internal"/>
    <s v="Votorantim, BR"/>
    <s v="64"/>
    <s v="12"/>
    <s v="Referral"/>
    <s v="New Business"/>
    <s v="05/2026"/>
    <s v=""/>
  </r>
  <r>
    <s v="OPP-10082"/>
    <s v="ACC-1108"/>
    <x v="90"/>
    <s v="Wanda Borges"/>
    <s v="Jojoba Cosmetics - DDM - Media - Managed Media (AOR) - 01/2026"/>
    <s v="Project - Competitive"/>
    <x v="2"/>
    <n v="60000"/>
    <s v="BRL"/>
    <n v="60000"/>
    <s v="BRL"/>
    <s v="DDM - Media - Managed Media (AOR)"/>
    <d v="2026-01-19T00:00:00"/>
    <d v="2025-12-23T00:00:00"/>
    <s v="Don't Know/Other (DEPRECATED)"/>
    <s v="São Carlos, BR"/>
    <s v="85"/>
    <s v="12"/>
    <s v="Unknown"/>
    <s v="New Business"/>
    <s v="01/2026"/>
    <n v="27"/>
  </r>
  <r>
    <s v="OPP-10035"/>
    <s v="ACC-1010"/>
    <x v="12"/>
    <s v="Lucas Almeida"/>
    <s v="Juniper Data - DDM - Media - Managed Media (AOR) - 06/2026"/>
    <s v="Project - Competitive"/>
    <x v="3"/>
    <n v="286464"/>
    <s v="BRL"/>
    <n v="12000"/>
    <s v="BRL"/>
    <s v="DDM - Media - Managed Media (AOR)"/>
    <d v="2026-06-29T00:00:00"/>
    <d v="2025-03-11T00:00:00"/>
    <s v="Industry Event"/>
    <s v="São Carlos, BR"/>
    <s v="134"/>
    <s v="24"/>
    <s v="Event"/>
    <s v="New Business"/>
    <s v="06/2026"/>
    <s v=""/>
  </r>
  <r>
    <s v="OPP-10180"/>
    <s v="ACC-1054"/>
    <x v="110"/>
    <s v="Bruno Costa"/>
    <s v="Kite Mobile - DDM - Media - Managed Media (AOR) - 05/2026"/>
    <s v="Change Order/Upsell"/>
    <x v="0"/>
    <n v="145803.84"/>
    <s v="BRL"/>
    <n v="145803.84"/>
    <s v="BRL"/>
    <s v="DDM - Media - Managed Media (AOR)"/>
    <d v="2026-05-31T00:00:00"/>
    <d v="2026-03-13T00:00:00"/>
    <s v="Inbound - Current Client (DEPRECATED)"/>
    <s v="Votorantim, BR"/>
    <s v="29"/>
    <s v="12"/>
    <s v="Customer Success"/>
    <s v="Upsell"/>
    <s v="05/2026"/>
    <s v=""/>
  </r>
  <r>
    <s v="OPP-10056"/>
    <s v="ACC-1076"/>
    <x v="111"/>
    <s v="Karina Oliveira"/>
    <s v="Kudzu Retail - DDM - Media - Managed Media (AOR) - 01/2026"/>
    <s v="Flex/Renewal"/>
    <x v="2"/>
    <n v="234960"/>
    <s v="BRL"/>
    <n v="234960"/>
    <s v="BRL"/>
    <s v="DDM - Media - Managed Media (AOR)"/>
    <d v="2026-01-20T00:00:00"/>
    <d v="2025-11-28T00:00:00"/>
    <s v="Inbound - Current Client (DEPRECATED)"/>
    <s v="Votorantim, BR"/>
    <s v="84"/>
    <s v="12"/>
    <s v="Customer Success"/>
    <s v="Upsell"/>
    <s v="01/2026"/>
    <n v="53"/>
  </r>
  <r>
    <s v="OPP-10095"/>
    <s v="ACC-1065"/>
    <x v="36"/>
    <s v="Joao Pereira"/>
    <s v="Larkspur Foods - DDM - Media - Managed Media (AOR) - 07/2026"/>
    <s v="Project - Competitive"/>
    <x v="4"/>
    <n v="1200000"/>
    <s v="BRL"/>
    <n v="1200000"/>
    <s v="BRL"/>
    <s v="DDM - Media - Managed Media (AOR)"/>
    <d v="2026-06-07T00:00:00"/>
    <d v="2026-01-15T00:00:00"/>
    <s v="Referral - Personal"/>
    <s v="São Carlos, BR"/>
    <s v="15"/>
    <s v="12"/>
    <s v="Referral"/>
    <s v="New Business"/>
    <s v="06/2026"/>
    <s v=""/>
  </r>
  <r>
    <s v="OPP-10109"/>
    <s v="ACC-1080"/>
    <x v="44"/>
    <s v="Xavier Correia"/>
    <s v="Lavender Publishing - DDM - Media - Managed Media (AOR) - 04/2026"/>
    <s v="Project - Competitive"/>
    <x v="0"/>
    <n v="360655.14"/>
    <s v="BRL"/>
    <n v="297600"/>
    <s v="BRL"/>
    <s v="DDM - Media - Managed Media (AOR)"/>
    <d v="2026-04-13T00:00:00"/>
    <d v="2026-01-23T00:00:00"/>
    <s v="Prospecting - Current Client (DEPRECATED)"/>
    <s v="Votorantim, BR"/>
    <s v="46"/>
    <s v="12"/>
    <s v="Customer Success"/>
    <s v="New Business"/>
    <s v="04/2026"/>
    <s v=""/>
  </r>
  <r>
    <s v="OPP-10244"/>
    <s v="ACC-1041"/>
    <x v="14"/>
    <s v="Amanda Rios"/>
    <s v="Linden Foods - DDM - Media - Managed Media (AOR) - 07/2026"/>
    <s v="Change Order/Upsell"/>
    <x v="6"/>
    <n v="25000"/>
    <s v="BRL"/>
    <n v="25000"/>
    <s v="BRL"/>
    <s v="DDM - Media - Managed Media (AOR)"/>
    <d v="2026-07-31T00:00:00"/>
    <d v="2026-10-04T00:00:00"/>
    <s v="Existing Client - Account/Growth Activity"/>
    <s v="São Carlos, BR"/>
    <s v="4"/>
    <s v="12"/>
    <s v="Customer Success"/>
    <s v="Upsell"/>
    <s v="07/2026"/>
    <s v=""/>
  </r>
  <r>
    <s v="OPP-10249"/>
    <s v="ACC-1093"/>
    <x v="112"/>
    <s v="Nicolas Teixeira"/>
    <s v="Moringa Health - DDM - Media - Managed Media (AOR) - 06/2026"/>
    <s v="Project - Competitive"/>
    <x v="6"/>
    <n v="384000"/>
    <s v="BRL"/>
    <n v="384000"/>
    <s v="BRL"/>
    <s v="DDM - Media - Managed Media (AOR)"/>
    <d v="2026-06-30T00:00:00"/>
    <d v="2026-10-04T00:00:00"/>
    <s v="Marketing - Lead Scoring/Nurturing"/>
    <s v="São Carlos, BR"/>
    <s v="4"/>
    <s v="24"/>
    <s v="Unknown"/>
    <s v="New Business"/>
    <s v="06/2026"/>
    <s v=""/>
  </r>
  <r>
    <s v="OPP-10091"/>
    <s v="ACC-1084"/>
    <x v="16"/>
    <s v="Bruno Costa"/>
    <s v="Nigella Security - Content - Platform - Performance, SEO, CRM &amp; Loyalty - 05/2026"/>
    <s v="Flex/Renewal"/>
    <x v="2"/>
    <n v="3156666.46"/>
    <s v="BRL"/>
    <n v="1530024.1"/>
    <s v="BRL"/>
    <s v="DDM - Media - Managed Media (AOR)"/>
    <d v="2026-02-26T00:00:00"/>
    <d v="2026-12-01T00:00:00"/>
    <s v="Inbound - Current Client (DEPRECATED)"/>
    <s v="São Carlos, BR"/>
    <s v="47"/>
    <s v="12"/>
    <s v="Customer Success"/>
    <s v="Upsell"/>
    <s v="02/2026"/>
    <s v=""/>
  </r>
  <r>
    <s v="OPP-10220"/>
    <s v="ACC-1084"/>
    <x v="16"/>
    <s v="Bruno Costa"/>
    <s v="Nigella Security - DDM - CRM - Other - 02/2026"/>
    <s v="Change Order/Upsell"/>
    <x v="3"/>
    <n v="264000"/>
    <s v="BRL"/>
    <n v="264000"/>
    <s v="BRL"/>
    <s v="DDM - Media - Managed Media (AOR)"/>
    <d v="2026-05-31T00:00:00"/>
    <d v="2026-02-04T00:00:00"/>
    <s v="Inbound - Current Client (DEPRECATED)"/>
    <s v="São Carlos, BR"/>
    <s v="12"/>
    <s v="12"/>
    <s v="Customer Success"/>
    <s v="Upsell"/>
    <s v="05/2026"/>
    <s v=""/>
  </r>
  <r>
    <s v="OPP-10058"/>
    <s v="ACC-1095"/>
    <x v="45"/>
    <s v="Yasmin Nogueira"/>
    <s v="Nimbus Media - DDM - Media - Managed Media (AOR) - 05/2026"/>
    <s v="Project - Competitive"/>
    <x v="3"/>
    <n v="2627267.83"/>
    <s v="BRL"/>
    <n v="1263216.3600000001"/>
    <s v="BRL"/>
    <s v="DDM - Media - Managed Media (AOR)"/>
    <d v="2026-11-05T00:00:00"/>
    <d v="2025-01-12T00:00:00"/>
    <s v="Referral - Personal"/>
    <s v="Votorantim, BR"/>
    <s v="54"/>
    <s v="12"/>
    <s v="Referral"/>
    <s v="New Business"/>
    <s v="11/2026"/>
    <s v=""/>
  </r>
  <r>
    <s v="OPP-10001"/>
    <s v="ACC-1031"/>
    <x v="17"/>
    <s v="Queila Ribeiro"/>
    <s v="Nova Studios - DDM - Media - Managed Media (AOR) - 04/2026"/>
    <s v="Change Order/Upsell"/>
    <x v="0"/>
    <n v="3043949.95"/>
    <s v="BRL"/>
    <n v="829077.09"/>
    <s v="BRL"/>
    <s v="DDM - Media - Managed Media (AOR)"/>
    <d v="2026-04-30T00:00:00"/>
    <d v="2025-05-19T00:00:00"/>
    <s v="Inbound - Current Client (DEPRECATED)"/>
    <s v="São Carlos, BR"/>
    <s v="130"/>
    <s v="12"/>
    <s v="Customer Success"/>
    <s v="Upsell"/>
    <s v="04/2026"/>
    <s v=""/>
  </r>
  <r>
    <s v="OPP-10064"/>
    <s v="ACC-1031"/>
    <x v="17"/>
    <s v="Queila Ribeiro"/>
    <s v="Nova Studios - Content - Platform - Performance, SEO, CRM &amp; Loyalty - 07/2026"/>
    <s v="Flex/Renewal"/>
    <x v="0"/>
    <n v="4235159.34"/>
    <s v="BRL"/>
    <n v="3564631.98"/>
    <s v="BRL"/>
    <s v="DDM - Media - Managed Media (AOR)"/>
    <d v="2026-04-17T00:00:00"/>
    <d v="2025-08-12T00:00:00"/>
    <s v="Inbound - Current Client (DEPRECATED)"/>
    <s v="São Carlos, BR"/>
    <s v="26"/>
    <s v="6"/>
    <s v="Customer Success"/>
    <s v="Upsell"/>
    <s v="04/2026"/>
    <s v=""/>
  </r>
  <r>
    <s v="OPP-10155"/>
    <s v="ACC-1031"/>
    <x v="17"/>
    <s v="Queila Ribeiro"/>
    <s v="Nova Studios - DDM - Media - Creative - 04/2026"/>
    <s v="Change Order/Upsell"/>
    <x v="3"/>
    <n v="720000"/>
    <s v="BRL"/>
    <n v="720000"/>
    <s v="BRL"/>
    <s v="DDM - Media - Managed Media (AOR)"/>
    <d v="2026-05-31T00:00:00"/>
    <d v="2026-02-03T00:00:00"/>
    <s v="Inbound - Current Client (DEPRECATED)"/>
    <s v="São Carlos, BR"/>
    <s v="12"/>
    <s v="12"/>
    <s v="Customer Success"/>
    <s v="Upsell"/>
    <s v="05/2026"/>
    <s v=""/>
  </r>
  <r>
    <s v="OPP-10070"/>
    <s v="ACC-1031"/>
    <x v="17"/>
    <s v="Queila Ribeiro"/>
    <s v="Nova Studios - DDM - Media - Creative - 04/2026"/>
    <s v="Change Order/Upsell"/>
    <x v="0"/>
    <n v="594455.31000000006"/>
    <s v="BRL"/>
    <n v="387913.59"/>
    <s v="BRL"/>
    <s v="DDM - Media - Managed Media (AOR)"/>
    <d v="2026-04-30T00:00:00"/>
    <d v="2025-12-15T00:00:00"/>
    <s v="Inbound - Current Client (DEPRECATED)"/>
    <s v="São Carlos, BR"/>
    <s v="26"/>
    <s v="3"/>
    <s v="Customer Success"/>
    <s v="Upsell"/>
    <s v="04/2026"/>
    <s v=""/>
  </r>
  <r>
    <s v="OPP-10011"/>
    <s v="ACC-1025"/>
    <x v="101"/>
    <s v="Amanda Rios"/>
    <s v="Nutmeg Gaming - DDM - Media - Managed Media (AOR) - 02/2026"/>
    <s v="Change Order/Upsell"/>
    <x v="2"/>
    <n v="180000"/>
    <s v="BRL"/>
    <n v="72000"/>
    <s v="BRL"/>
    <s v="DDM - Media - Managed Media (AOR)"/>
    <d v="2026-09-02T00:00:00"/>
    <d v="2025-08-29T00:00:00"/>
    <s v="Inbound - Current Client (DEPRECATED)"/>
    <s v="São Carlos, BR"/>
    <s v="64"/>
    <s v="12"/>
    <s v="Customer Success"/>
    <s v="Upsell"/>
    <s v="09/2026"/>
    <n v="369"/>
  </r>
  <r>
    <s v="OPP-10041"/>
    <s v="ACC-1026"/>
    <x v="113"/>
    <s v="Amanda Rios"/>
    <s v="Obsidian Bank - DDM - Media - Managed Media (AOR) - 05/2026"/>
    <s v="Change Order/Upsell"/>
    <x v="1"/>
    <n v="242040.36"/>
    <s v="BRL"/>
    <n v="242040.36"/>
    <s v="BRL"/>
    <s v="DDM - Media - Managed Media (AOR)"/>
    <d v="2026-05-31T00:00:00"/>
    <d v="2025-11-14T00:00:00"/>
    <s v="Inbound - Current Client (DEPRECATED)"/>
    <s v="São Carlos, BR"/>
    <s v="117"/>
    <s v="12"/>
    <s v="Customer Success"/>
    <s v="Upsell"/>
    <s v="05/2026"/>
    <s v=""/>
  </r>
  <r>
    <s v="OPP-10125"/>
    <s v="ACC-1055"/>
    <x v="92"/>
    <s v="Xavier Correia"/>
    <s v="Olive Hospitality - DDM - Media - Managed Media (AOR) - 04/2026"/>
    <s v="Project - Not Competitive"/>
    <x v="3"/>
    <n v="362880"/>
    <s v="BRL"/>
    <n v="314880"/>
    <s v="BRL"/>
    <s v="DDM - Media - Managed Media (AOR)"/>
    <d v="2026-04-30T00:00:00"/>
    <d v="2026-06-02T00:00:00"/>
    <s v="Referral - Partner - Google Cloud"/>
    <s v="São Carlos, BR"/>
    <s v="36"/>
    <s v="12"/>
    <s v="Referral"/>
    <s v="New Business"/>
    <s v="04/2026"/>
    <s v=""/>
  </r>
  <r>
    <s v="OPP-10190"/>
    <s v="ACC-1047"/>
    <x v="93"/>
    <s v="Nicolas Teixeira"/>
    <s v="Oregano Air - DDM - Media - Managed Media (AOR) - 05/2026"/>
    <s v="Project - Not Competitive"/>
    <x v="4"/>
    <n v="31256.14"/>
    <s v="BRL"/>
    <n v="10256.14"/>
    <s v="BRL"/>
    <s v="DDM - Media - Managed Media (AOR)"/>
    <d v="2026-05-29T00:00:00"/>
    <d v="2026-03-20T00:00:00"/>
    <s v="Inbound - Website - Media.Monks (DEPRECATED)"/>
    <s v="São Carlos, BR"/>
    <s v="4"/>
    <s v="12"/>
    <s v="Inbound"/>
    <s v="New Business"/>
    <s v="05/2026"/>
    <s v=""/>
  </r>
  <r>
    <s v="OPP-10137"/>
    <s v="ACC-1068"/>
    <x v="114"/>
    <s v="Nicolas Teixeira"/>
    <s v="Poppy Media - DDM - Media - Managed Media (AOR) - 05/2026"/>
    <s v="Project - Not Competitive"/>
    <x v="1"/>
    <n v="372818.4"/>
    <s v="BRL"/>
    <n v="372818.4"/>
    <s v="BRL"/>
    <s v="DDM - Media - Managed Media (AOR)"/>
    <d v="2026-05-29T00:00:00"/>
    <d v="2026-02-13T00:00:00"/>
    <s v="Inbound - Website (DEPRECATED)"/>
    <s v="São Carlos, BR"/>
    <s v="43"/>
    <s v="12"/>
    <s v="Inbound"/>
    <s v="New Business"/>
    <s v="05/2026"/>
    <s v=""/>
  </r>
  <r>
    <s v="OPP-10024"/>
    <s v="ACC-1051"/>
    <x v="20"/>
    <s v="Karina Oliveira"/>
    <s v="Pyrite Fintech - DDM - Media - Managed Media (AOR) - 04/2026"/>
    <s v="Change Order/Upsell"/>
    <x v="0"/>
    <n v="593400"/>
    <s v="BRL"/>
    <n v="248251.44"/>
    <s v="BRL"/>
    <s v="DDM - Media - Managed Media (AOR)"/>
    <d v="2026-04-30T00:00:00"/>
    <d v="2025-10-10T00:00:00"/>
    <s v="Inbound - Current Client (DEPRECATED)"/>
    <s v="São Carlos, BR"/>
    <s v="127"/>
    <s v="12"/>
    <s v="Customer Success"/>
    <s v="Upsell"/>
    <s v="04/2026"/>
    <s v=""/>
  </r>
  <r>
    <s v="OPP-10139"/>
    <s v="ACC-1070"/>
    <x v="55"/>
    <s v="Wanda Borges"/>
    <s v="Quinoa Foods - DDM - CRM - Salesforce Marketing Cloud - 01/2026"/>
    <s v="Project - Competitive"/>
    <x v="0"/>
    <n v="1184791"/>
    <s v="BRL"/>
    <n v="777971"/>
    <s v="BRL"/>
    <s v="DDM - Media - Managed Media (AOR)"/>
    <d v="2026-04-24T00:00:00"/>
    <d v="2026-02-18T00:00:00"/>
    <s v="Referral - S4 Company"/>
    <s v="São Paulo, BR"/>
    <s v="26"/>
    <s v="10"/>
    <s v="Referral"/>
    <s v="New Business"/>
    <s v="04/2026"/>
    <s v=""/>
  </r>
  <r>
    <s v="OPP-10031"/>
    <s v="ACC-1070"/>
    <x v="55"/>
    <s v="Wanda Borges"/>
    <s v="Quinoa Foods - DDM - Media - Managed Media (AOR) - 04/2026"/>
    <s v="Project - Competitive"/>
    <x v="2"/>
    <n v="1014586.08"/>
    <s v="BRL"/>
    <n v="472133.4"/>
    <s v="BRL"/>
    <s v="DDM - Media - Managed Media (AOR)"/>
    <d v="2026-06-01T00:00:00"/>
    <d v="2025-10-27T00:00:00"/>
    <s v="Prospecting - Current Client (DEPRECATED)"/>
    <s v="São Paulo, BR"/>
    <s v="98"/>
    <s v="6"/>
    <s v="Customer Success"/>
    <s v="New Business"/>
    <s v="06/2026"/>
    <n v="217"/>
  </r>
  <r>
    <s v="OPP-10039"/>
    <s v="ACC-1057"/>
    <x v="115"/>
    <s v="Carla Mendes"/>
    <s v="Raven Sports - DDM - Media - Managed Media (AOR) - 03/2026"/>
    <s v="Change Order/Upsell"/>
    <x v="2"/>
    <n v="88063.48"/>
    <s v="BRL"/>
    <n v="88063.48"/>
    <s v="BRL"/>
    <s v="DDM - Media - Managed Media (AOR)"/>
    <d v="2026-12-03T00:00:00"/>
    <d v="2025-11-13T00:00:00"/>
    <s v="Don't Know/Other (DEPRECATED)"/>
    <s v="Votorantim, BR"/>
    <n v="33"/>
    <s v="4"/>
    <s v="Unknown"/>
    <s v="Upsell"/>
    <s v="12/2026"/>
    <n v="385"/>
  </r>
  <r>
    <s v="OPP-10078"/>
    <s v="ACC-1057"/>
    <x v="115"/>
    <s v="Carla Mendes"/>
    <s v="Raven Sports - DDM - Media - Managed Media (AOR) - 03/2026"/>
    <s v="Change Order/Upsell"/>
    <x v="2"/>
    <n v="44031.74"/>
    <s v="BRL"/>
    <n v="44031.74"/>
    <s v="BRL"/>
    <s v="DDM - Media - Managed Media (AOR)"/>
    <d v="2026-02-02T00:00:00"/>
    <d v="2025-12-19T00:00:00"/>
    <s v="Inbound - Current Client (DEPRECATED)"/>
    <s v="Votorantim, BR"/>
    <s v="71"/>
    <s v="1"/>
    <s v="Customer Success"/>
    <s v="Upsell"/>
    <s v="02/2026"/>
    <n v="45"/>
  </r>
  <r>
    <s v="OPP-10022"/>
    <s v="ACC-1057"/>
    <x v="115"/>
    <s v="Carla Mendes"/>
    <s v="Raven Sports - DDM - Media - Managed Media (AOR) - 01/2026"/>
    <s v="Flex/Renewal"/>
    <x v="2"/>
    <n v="286200"/>
    <s v="BRL"/>
    <n v="286200"/>
    <s v="BRL"/>
    <s v="DDM - Media - Managed Media (AOR)"/>
    <d v="2026-12-03T00:00:00"/>
    <d v="2025-09-10T00:00:00"/>
    <s v="Inbound - Current Client (DEPRECATED)"/>
    <s v="Votorantim, BR"/>
    <s v="33"/>
    <s v="4"/>
    <s v="Customer Success"/>
    <s v="Upsell"/>
    <s v="12/2026"/>
    <n v="449"/>
  </r>
  <r>
    <s v="OPP-10077"/>
    <s v="ACC-1057"/>
    <x v="115"/>
    <s v="Carla Mendes"/>
    <s v="Raven Sports - DDM - Media - Managed Media (AOR) - 02/2026"/>
    <s v="Flex/Renewal"/>
    <x v="2"/>
    <n v="143100"/>
    <s v="BRL"/>
    <n v="143100"/>
    <s v="BRL"/>
    <s v="DDM - Media - Managed Media (AOR)"/>
    <d v="2026-01-31T00:00:00"/>
    <d v="2025-12-19T00:00:00"/>
    <s v="Inbound - Current Client (DEPRECATED)"/>
    <s v="Votorantim, BR"/>
    <s v="71"/>
    <s v="1"/>
    <s v="Customer Success"/>
    <s v="Upsell"/>
    <s v="01/2026"/>
    <n v="43"/>
  </r>
  <r>
    <s v="OPP-10025"/>
    <s v="ACC-1027"/>
    <x v="116"/>
    <s v="Daniel Moura"/>
    <s v="Rosemary Auto - DDM - Media - Managed Media (AOR) - 01/2026"/>
    <s v="Flex/Renewal"/>
    <x v="2"/>
    <n v="733504.44"/>
    <s v="BRL"/>
    <n v="733504.44"/>
    <s v="BRL"/>
    <s v="DDM - Media - Managed Media (AOR)"/>
    <d v="2026-12-01T00:00:00"/>
    <d v="2025-10-16T00:00:00"/>
    <s v="Inbound - Current Client (DEPRECATED)"/>
    <s v="São Carlos, BR"/>
    <s v="92"/>
    <s v="12"/>
    <s v="Customer Success"/>
    <s v="Upsell"/>
    <s v="12/2026"/>
    <n v="411"/>
  </r>
  <r>
    <s v="OPP-10164"/>
    <s v="ACC-1036"/>
    <x v="52"/>
    <s v="Pedro Martins"/>
    <s v="Rowan Energy - DDM - Media - Creative - 03/2026"/>
    <s v="Change Order/Upsell"/>
    <x v="2"/>
    <n v="274209.96999999997"/>
    <s v="BRL"/>
    <n v="184049.73"/>
    <s v="BRL"/>
    <s v="DDM - Media - Managed Media (AOR)"/>
    <d v="2026-05-03T00:00:00"/>
    <d v="2026-05-03T00:00:00"/>
    <s v="Inbound - Current Client (DEPRECATED)"/>
    <s v="Votorantim, BR"/>
    <s v="40"/>
    <s v="1"/>
    <s v="Customer Success"/>
    <s v="Upsell"/>
    <s v="05/2026"/>
    <s v=""/>
  </r>
  <r>
    <s v="OPP-10163"/>
    <s v="ACC-1036"/>
    <x v="52"/>
    <s v="Pedro Martins"/>
    <s v="Rowan Energy - DDM - Media - Managed Media (AOR) - 03/2026"/>
    <s v="Flex/Renewal"/>
    <x v="2"/>
    <n v="440332.96"/>
    <s v="BRL"/>
    <n v="440332.96"/>
    <s v="BRL"/>
    <s v="DDM - Media - Managed Media (AOR)"/>
    <d v="2026-05-03T00:00:00"/>
    <d v="2026-05-03T00:00:00"/>
    <s v="Inbound - Current Client (DEPRECATED)"/>
    <s v="Votorantim, BR"/>
    <s v="40"/>
    <s v="12"/>
    <s v="Customer Success"/>
    <s v="Upsell"/>
    <s v="05/2026"/>
    <s v=""/>
  </r>
  <r>
    <s v="OPP-10044"/>
    <s v="ACC-1063"/>
    <x v="23"/>
    <s v="Ana Silva"/>
    <s v="Saffron Fashion - Content - Platform - Performance, SEO, CRM &amp; Loyalty - 01/2026"/>
    <s v="Change Order/Upsell"/>
    <x v="2"/>
    <n v="2518147.83"/>
    <s v="BRL"/>
    <n v="1321676.1499999999"/>
    <s v="BRL"/>
    <s v="DDM - Media - Managed Media (AOR)"/>
    <d v="2026-12-01T00:00:00"/>
    <d v="2025-11-14T00:00:00"/>
    <s v="Inbound - Current Client (DEPRECATED)"/>
    <s v="São Carlos, BR"/>
    <s v="92"/>
    <s v="12"/>
    <s v="Customer Success"/>
    <s v="Upsell"/>
    <s v="12/2026"/>
    <n v="382"/>
  </r>
  <r>
    <s v="OPP-10072"/>
    <s v="ACC-1063"/>
    <x v="23"/>
    <s v="Ana Silva"/>
    <s v="Saffron Fashion - DDM - Data - Services &amp; Tech - Services (Analytics &amp; Support) - 01/2026"/>
    <s v="Flex/Renewal"/>
    <x v="2"/>
    <n v="6770269.9100000001"/>
    <s v="BRL"/>
    <n v="3986192.66"/>
    <s v="BRL"/>
    <s v="DDM - Media - Managed Media (AOR)"/>
    <d v="2026-01-27T00:00:00"/>
    <d v="2025-12-15T00:00:00"/>
    <s v="Inbound - Current Client (DEPRECATED)"/>
    <s v="São Carlos, BR"/>
    <s v="77"/>
    <s v="12"/>
    <s v="Customer Success"/>
    <s v="Upsell"/>
    <s v="01/2026"/>
    <n v="43"/>
  </r>
  <r>
    <s v="OPP-10072"/>
    <s v="ACC-1063"/>
    <x v="23"/>
    <s v="Ana Silva"/>
    <s v="Saffron Fashion - Content - Platform - Performance, SEO, CRM &amp; Loyalty - 01/2026"/>
    <s v="Flex/Renewal"/>
    <x v="2"/>
    <n v="6770269.9100000001"/>
    <s v="BRL"/>
    <n v="272925.34999999998"/>
    <s v="BRL"/>
    <s v="DDM - Media - Managed Media (AOR)"/>
    <d v="2026-01-27T00:00:00"/>
    <d v="2025-12-15T00:00:00"/>
    <s v="Inbound - Current Client (DEPRECATED)"/>
    <s v="São Carlos, BR"/>
    <s v="77"/>
    <s v="12"/>
    <s v="Customer Success"/>
    <s v="Upsell"/>
    <s v="01/2026"/>
    <n v="43"/>
  </r>
  <r>
    <s v="OPP-10032"/>
    <s v="ACC-1063"/>
    <x v="23"/>
    <s v="Ana Silva"/>
    <s v="Saffron Fashion - DDM - Data - Services &amp; Tech - Services (Analytics &amp; Support) - 01/2026"/>
    <s v="Change Order/Upsell"/>
    <x v="2"/>
    <n v="722935.92"/>
    <s v="BRL"/>
    <n v="607803.12"/>
    <s v="BRL"/>
    <s v="DDM - Media - Managed Media (AOR)"/>
    <d v="2026-05-01T00:00:00"/>
    <d v="2025-10-29T00:00:00"/>
    <s v="Inbound - Current Client (DEPRECATED)"/>
    <s v="São Carlos, BR"/>
    <s v="99"/>
    <s v="12"/>
    <s v="Customer Success"/>
    <s v="Upsell"/>
    <s v="05/2026"/>
    <n v="184"/>
  </r>
  <r>
    <s v="OPP-10226"/>
    <s v="ACC-1063"/>
    <x v="23"/>
    <s v="Ana Silva"/>
    <s v="Saffron Fashion - Content - Platform - Performance, SEO, CRM &amp; Loyalty - 05/2026"/>
    <s v="Change Order/Upsell"/>
    <x v="4"/>
    <n v="706759.68000000005"/>
    <s v="BRL"/>
    <n v="706759.68000000005"/>
    <s v="BRL"/>
    <s v="DDM - Media - Managed Media (AOR)"/>
    <d v="2026-06-30T00:00:00"/>
    <d v="2026-06-04T00:00:00"/>
    <s v="Existing Client - Account/Growth Activity"/>
    <s v="São Carlos, BR"/>
    <s v="8"/>
    <s v="12"/>
    <s v="Customer Success"/>
    <s v="Upsell"/>
    <s v="06/2026"/>
    <s v=""/>
  </r>
  <r>
    <s v="OPP-10102"/>
    <s v="ACC-1063"/>
    <x v="23"/>
    <s v="Ana Silva"/>
    <s v="Saffron Fashion - DDM - Media - Managed Media (AOR) - 06/2026"/>
    <s v="Flex/Renewal"/>
    <x v="2"/>
    <n v="299999.59999999998"/>
    <s v="BRL"/>
    <n v="299999.59999999998"/>
    <s v="BRL"/>
    <s v="DDM - Media - Managed Media (AOR)"/>
    <d v="2026-03-23T00:00:00"/>
    <d v="2026-01-22T00:00:00"/>
    <s v="Inbound - Current Client (DEPRECATED)"/>
    <s v="São Carlos, BR"/>
    <s v="22"/>
    <s v="12"/>
    <s v="Customer Success"/>
    <s v="Upsell"/>
    <s v="03/2026"/>
    <n v="60"/>
  </r>
  <r>
    <s v="OPP-10225"/>
    <s v="ACC-1089"/>
    <x v="59"/>
    <s v="Karina Oliveira"/>
    <s v="Sage Streaming -  - 05/2026"/>
    <s v="Change Order/Upsell"/>
    <x v="4"/>
    <n v="173729.16"/>
    <s v="BRL"/>
    <n v="173729.16"/>
    <s v="BRL"/>
    <s v="DDM - Media - Managed Media (AOR)"/>
    <d v="2026-05-29T00:00:00"/>
    <d v="2026-02-04T00:00:00"/>
    <s v="MH Lead (DEPRECATED)"/>
    <s v="Votorantim, BR"/>
    <s v="4"/>
    <s v="12"/>
    <s v="Unknown"/>
    <s v="Upsell"/>
    <s v="05/2026"/>
    <s v=""/>
  </r>
  <r>
    <s v="OPP-10023"/>
    <s v="ACC-1038"/>
    <x v="81"/>
    <s v="Pedro Martins"/>
    <s v="Sumac Telecom - DDM - Media - Managed Media (AOR) - 03/2026"/>
    <s v="Flex/Renewal"/>
    <x v="2"/>
    <n v="1758176.04"/>
    <s v="BRL"/>
    <n v="1310372.04"/>
    <s v="BRL"/>
    <s v="DDM - Media - Managed Media (AOR)"/>
    <d v="2026-09-03T00:00:00"/>
    <d v="2025-09-10T00:00:00"/>
    <s v="Inbound - Current Client (DEPRECATED)"/>
    <s v="Votorantim, BR"/>
    <s v="36"/>
    <s v="12"/>
    <s v="Customer Success"/>
    <s v="Upsell"/>
    <s v="09/2026"/>
    <n v="358"/>
  </r>
  <r>
    <s v="OPP-10101"/>
    <s v="ACC-1038"/>
    <x v="81"/>
    <s v="Pedro Martins"/>
    <s v="Sumac Telecom - DDM - Media - Managed Media (AOR) - 03/2026"/>
    <s v="Change Order/Upsell"/>
    <x v="2"/>
    <n v="157479.96"/>
    <s v="BRL"/>
    <n v="157479.96"/>
    <s v="BRL"/>
    <s v="DDM - Media - Managed Media (AOR)"/>
    <d v="2026-09-03T00:00:00"/>
    <d v="2026-01-21T00:00:00"/>
    <s v="Inbound - Current Client (DEPRECATED)"/>
    <s v="Votorantim, BR"/>
    <s v="36"/>
    <s v="12"/>
    <s v="Customer Success"/>
    <s v="Upsell"/>
    <s v="09/2026"/>
    <n v="225"/>
  </r>
  <r>
    <s v="OPP-10192"/>
    <s v="ACC-1034"/>
    <x v="85"/>
    <s v="Xavier Correia"/>
    <s v="Ume Insurance - DDM - Media - Managed Media (AOR) - 05/2026"/>
    <s v="Project - Competitive"/>
    <x v="4"/>
    <n v="1528601.1600000001"/>
    <s v="BRL"/>
    <n v="960665.16"/>
    <s v="BRL"/>
    <s v="DDM - Media - Managed Media (AOR)"/>
    <d v="2026-05-31T00:00:00"/>
    <d v="2026-03-20T00:00:00"/>
    <s v="Inbound - Website - Media.Monks (DEPRECATED)"/>
    <s v="São Carlos, BR"/>
    <s v="4"/>
    <s v="12"/>
    <s v="Inbound"/>
    <s v="New Business"/>
    <s v="05/2026"/>
    <s v=""/>
  </r>
  <r>
    <s v="OPP-10135"/>
    <s v="ACC-1030"/>
    <x v="117"/>
    <s v="Carla Mendes"/>
    <s v="Vertex Apparel - DDM - Media - Managed Media (AOR) - 04/2026"/>
    <s v="Passthrough"/>
    <x v="0"/>
    <n v="72720"/>
    <s v="BRL"/>
    <n v="72720"/>
    <s v="BRL"/>
    <s v="DDM - Media - Managed Media (AOR)"/>
    <d v="2026-04-28T00:00:00"/>
    <d v="2026-02-13T00:00:00"/>
    <s v="Inbound - Website (DEPRECATED)"/>
    <s v="São Carlos, BR"/>
    <s v="47"/>
    <s v="12"/>
    <s v="Inbound"/>
    <s v="Upsell"/>
    <s v="04/2026"/>
    <s v=""/>
  </r>
  <r>
    <s v="OPP-10136"/>
    <s v="ACC-1030"/>
    <x v="117"/>
    <s v="Carla Mendes"/>
    <s v="Vertex Apparel - DDM - Media - Managed Media (AOR) - 04/2026"/>
    <s v="Change Order/Upsell"/>
    <x v="0"/>
    <n v="208391.64"/>
    <s v="BRL"/>
    <n v="208391.64"/>
    <s v="BRL"/>
    <s v="DDM - Media - Managed Media (AOR)"/>
    <d v="2026-04-30T00:00:00"/>
    <d v="2026-02-13T00:00:00"/>
    <s v="Inbound - Current Client (DEPRECATED)"/>
    <s v="São Carlos, BR"/>
    <s v="47"/>
    <s v="12"/>
    <s v="Customer Success"/>
    <s v="Upsell"/>
    <s v="04/2026"/>
    <s v=""/>
  </r>
  <r>
    <s v="OPP-10159"/>
    <s v="ACC-1111"/>
    <x v="26"/>
    <s v="Wanda Borges"/>
    <s v="Walnut Manufacturing - DDM - Media - Managed Media (AOR) - 05/2026"/>
    <s v="Project - Competitive"/>
    <x v="1"/>
    <n v="2133050.04"/>
    <s v="BRL"/>
    <n v="321776.88"/>
    <s v="BRL"/>
    <s v="DDM - Media - Managed Media (AOR)"/>
    <d v="2026-05-29T00:00:00"/>
    <d v="2026-03-03T00:00:00"/>
    <s v="Inbound - Website - Media.Monks (DEPRECATED)"/>
    <s v="Votorantim, BR"/>
    <s v="15"/>
    <s v="12"/>
    <s v="Inbound"/>
    <s v="New Business"/>
    <s v="05/2026"/>
    <s v=""/>
  </r>
  <r>
    <s v="OPP-10214"/>
    <s v="ACC-1103"/>
    <x v="118"/>
    <s v="Joao Pereira"/>
    <s v="Wormwood Bank - DDM - Media - Managed Media (AOR) - 04/2026"/>
    <s v="Project - Competitive"/>
    <x v="0"/>
    <n v="259731.72"/>
    <s v="BRL"/>
    <n v="259731.72"/>
    <s v="BRL"/>
    <s v="DDM - Media - Managed Media (AOR)"/>
    <d v="2026-04-30T00:00:00"/>
    <d v="2026-03-31T00:00:00"/>
    <s v="Referral - Internal"/>
    <s v="Votorantim, BR"/>
    <s v="3"/>
    <s v="12"/>
    <s v="Referral"/>
    <s v="New Business"/>
    <s v="04/2026"/>
    <s v=""/>
  </r>
  <r>
    <s v="OPP-10207"/>
    <s v="ACC-1043"/>
    <x v="29"/>
    <s v="Bernardo Castro"/>
    <s v="Xanadu Media - Content - Platform - Website Creation &amp; Production - 06/2026"/>
    <s v="Change Order/Upsell"/>
    <x v="1"/>
    <n v="838800"/>
    <s v="BRL"/>
    <n v="198000"/>
    <s v="BRL"/>
    <s v="DDM - Media - Managed Media (AOR)"/>
    <d v="2026-06-30T00:00:00"/>
    <d v="2026-03-30T00:00:00"/>
    <s v="Prospecting - Current Client (DEPRECATED)"/>
    <s v="Votorantim, BR"/>
    <s v="5"/>
    <s v="12"/>
    <s v="Customer Success"/>
    <s v="Upsell"/>
    <s v="06/2026"/>
    <s v=""/>
  </r>
  <r>
    <s v="OPP-10241"/>
    <s v="ACC-1081"/>
    <x v="30"/>
    <s v="Amanda Rios"/>
    <s v="Yarrow Health - DDM - Media - Managed Media (AOR) - 06/2026"/>
    <s v="Flex/Renewal"/>
    <x v="4"/>
    <n v="695284.8"/>
    <s v="BRL"/>
    <n v="354008.4"/>
    <s v="BRL"/>
    <s v="DDM - Media - Managed Media (AOR)"/>
    <d v="2026-06-30T00:00:00"/>
    <d v="2026-10-04T00:00:00"/>
    <s v="Existing Client - Account/Growth Activity"/>
    <s v="São Carlos, BR"/>
    <s v="4"/>
    <s v="12"/>
    <s v="Customer Success"/>
    <s v="Upsell"/>
    <s v="06/2026"/>
    <s v=""/>
  </r>
  <r>
    <s v="OPP-10051"/>
    <s v="ACC-1044"/>
    <x v="54"/>
    <s v="Carla Mendes"/>
    <s v="Yerba Studios - DDM - Media - Managed Media (AOR) - 01/2026"/>
    <s v="Flex/Renewal"/>
    <x v="2"/>
    <n v="760000"/>
    <s v="BRL"/>
    <n v="400000"/>
    <s v="BRL"/>
    <s v="DDM - Media - Managed Media (AOR)"/>
    <d v="2026-01-27T00:00:00"/>
    <d v="2025-11-26T00:00:00"/>
    <s v="Inbound - Current Client (DEPRECATED)"/>
    <s v="São Carlos, BR"/>
    <s v="77"/>
    <s v="12"/>
    <s v="Customer Success"/>
    <s v="Upsell"/>
    <s v="01/2026"/>
    <n v="62"/>
  </r>
  <r>
    <s v="OPP-10048"/>
    <s v="ACC-1106"/>
    <x v="62"/>
    <s v="Joao Pereira"/>
    <s v="Yucca Farms - DDM - Media - Managed Media (AOR) - 03/2026"/>
    <s v="Project - Competitive"/>
    <x v="2"/>
    <n v="195525"/>
    <s v="BRL"/>
    <n v="57430.080000000002"/>
    <s v="BRL"/>
    <s v="DDM - Media - Managed Media (AOR)"/>
    <d v="2026-03-31T00:00:00"/>
    <d v="2025-11-26T00:00:00"/>
    <s v="Referral - Personal"/>
    <s v="Votorantim, BR"/>
    <s v="14"/>
    <s v="3"/>
    <s v="Referral"/>
    <s v="New Business"/>
    <s v="03/2026"/>
    <n v="125"/>
  </r>
  <r>
    <s v="OPP-10172"/>
    <s v="ACC-1085"/>
    <x v="31"/>
    <s v="Felipe Lima"/>
    <s v="Yumberry Mobile - DDM - Media - Managed Media (AOR) - 05/2026"/>
    <s v="Project - Competitive"/>
    <x v="3"/>
    <n v="835250.32000000007"/>
    <s v="BRL"/>
    <n v="365077.92"/>
    <s v="BRL"/>
    <s v="DDM - Media - Managed Media (AOR)"/>
    <d v="2026-05-13T00:00:00"/>
    <d v="2026-11-03T00:00:00"/>
    <s v="Referral - Internal"/>
    <s v="São Carlos, BR"/>
    <s v="25"/>
    <s v="12"/>
    <s v="Referral"/>
    <s v="New Business"/>
    <s v="05/2026"/>
    <s v=""/>
  </r>
  <r>
    <s v="OPP-10009"/>
    <s v="ACC-1029"/>
    <x v="32"/>
    <s v="Ana Silva"/>
    <s v="Zephyr Telecom - DDM - Data - Services &amp; Tech - Services (Analytics &amp; Support) - 01/2026"/>
    <s v="Flex/Renewal"/>
    <x v="2"/>
    <n v="8047338.7199999997"/>
    <s v="BRL"/>
    <n v="8047338.7199999997"/>
    <s v="BRL"/>
    <s v="DDM - Media - Managed Media (AOR)"/>
    <d v="2026-02-27T00:00:00"/>
    <d v="2025-08-22T00:00:00"/>
    <s v="Inbound - Current Client (DEPRECATED)"/>
    <s v="São Carlos, BR"/>
    <s v="46"/>
    <s v="12"/>
    <s v="Customer Success"/>
    <s v="Upsell"/>
    <s v="02/2026"/>
    <n v="189"/>
  </r>
  <r>
    <s v="OPP-10033"/>
    <s v="ACC-1029"/>
    <x v="32"/>
    <s v="Ana Silva"/>
    <s v="Zephyr Telecom - DDM - Media - Managed Media (AOR) - 02/2026"/>
    <s v="Change Order/Upsell"/>
    <x v="2"/>
    <n v="3208257.54"/>
    <s v="BRL"/>
    <n v="3208257.54"/>
    <s v="BRL"/>
    <s v="DDM - Media - Managed Media (AOR)"/>
    <d v="2026-02-27T00:00:00"/>
    <d v="2025-10-30T00:00:00"/>
    <s v="Inbound - Current Client (DEPRECATED)"/>
    <s v="São Carlos, BR"/>
    <s v="46"/>
    <s v="12"/>
    <s v="Customer Success"/>
    <s v="Upsell"/>
    <s v="02/2026"/>
    <n v="120"/>
  </r>
  <r>
    <s v="OPP-10043"/>
    <s v="ACC-1029"/>
    <x v="32"/>
    <s v="Ana Silva"/>
    <s v="Zephyr Telecom - DDM - Media - Managed Media (AOR) - 02/2026"/>
    <s v="Flex/Renewal"/>
    <x v="2"/>
    <n v="4260383.32"/>
    <s v="BRL"/>
    <n v="2863609.66"/>
    <s v="BRL"/>
    <s v="DDM - Media - Managed Media (AOR)"/>
    <d v="2026-09-03T00:00:00"/>
    <d v="2025-11-14T00:00:00"/>
    <s v="Inbound - Current Client (DEPRECATED)"/>
    <s v="São Carlos, BR"/>
    <s v="36"/>
    <s v="12"/>
    <s v="Customer Success"/>
    <s v="Upsell"/>
    <s v="09/2026"/>
    <n v="293"/>
  </r>
  <r>
    <s v="OPP-10045"/>
    <s v="ACC-1029"/>
    <x v="32"/>
    <s v="Ana Silva"/>
    <s v="Zephyr Telecom - Content - Platform - Performance, SEO, CRM &amp; Loyalty - 03/2026"/>
    <s v="Flex/Renewal"/>
    <x v="2"/>
    <n v="3785206.2099999995"/>
    <s v="BRL"/>
    <n v="2191904.46"/>
    <s v="BRL"/>
    <s v="DDM - Media - Managed Media (AOR)"/>
    <d v="2026-02-13T00:00:00"/>
    <d v="2025-11-14T00:00:00"/>
    <s v="Inbound - Current Client (DEPRECATED)"/>
    <s v="São Carlos, BR"/>
    <s v="60"/>
    <s v="12"/>
    <s v="Customer Success"/>
    <s v="Upsell"/>
    <s v="02/2026"/>
    <n v="91"/>
  </r>
  <r>
    <s v="OPP-10059"/>
    <s v="ACC-1029"/>
    <x v="32"/>
    <s v="Ana Silva"/>
    <s v="Zephyr Telecom - DDM - Media - Managed Media (AOR) - 03/2026"/>
    <s v="Flex/Renewal"/>
    <x v="2"/>
    <n v="490082.16"/>
    <s v="BRL"/>
    <n v="346082.16"/>
    <s v="BRL"/>
    <s v="DDM - Media - Managed Media (AOR)"/>
    <d v="2026-11-03T00:00:00"/>
    <d v="2025-02-12T00:00:00"/>
    <s v="Inbound - Current Client (DEPRECATED)"/>
    <s v="São Carlos, BR"/>
    <s v="34"/>
    <s v="12"/>
    <s v="Customer Success"/>
    <s v="Upsell"/>
    <s v="11/2026"/>
    <n v="629"/>
  </r>
  <r>
    <s v="OPP-10092"/>
    <s v="ACC-1029"/>
    <x v="32"/>
    <s v="Ana Silva"/>
    <s v="Zephyr Telecom - DDM - Data - Services &amp; Tech - Services (Analytics &amp; Support) - 04/2026"/>
    <s v="Change Order/Upsell"/>
    <x v="2"/>
    <n v="492000"/>
    <s v="BRL"/>
    <n v="492000"/>
    <s v="BRL"/>
    <s v="DDM - Media - Managed Media (AOR)"/>
    <d v="2026-11-03T00:00:00"/>
    <d v="2026-01-13T00:00:00"/>
    <s v="Inbound - Current Client (DEPRECATED)"/>
    <s v="São Carlos, BR"/>
    <s v="34"/>
    <s v="12"/>
    <s v="Customer Success"/>
    <s v="Upsell"/>
    <s v="11/2026"/>
    <n v="294"/>
  </r>
  <r>
    <s v="OPP-10104"/>
    <s v="ACC-1029"/>
    <x v="32"/>
    <s v="Ana Silva"/>
    <s v="Zephyr Telecom - Content - Platform - Performance, SEO, CRM &amp; Loyalty - 03/2026"/>
    <s v="Change Order/Upsell"/>
    <x v="2"/>
    <n v="144000"/>
    <s v="BRL"/>
    <n v="144000"/>
    <s v="BRL"/>
    <s v="DDM - Media - Managed Media (AOR)"/>
    <d v="2026-02-13T00:00:00"/>
    <d v="2026-01-22T00:00:00"/>
    <s v="Inbound - Current Client (DEPRECATED)"/>
    <s v="São Carlos, BR"/>
    <s v="60"/>
    <s v="12"/>
    <s v="Customer Success"/>
    <s v="Upsell"/>
    <s v="02/2026"/>
    <n v="22"/>
  </r>
  <r>
    <s v="OPP-10256"/>
    <s v="ACC-1029"/>
    <x v="32"/>
    <s v="Ana Silva"/>
    <s v="Zephyr Telecom - DDM - Media - Managed Media (AOR) - 02/2026"/>
    <s v="Change Order/Upsell"/>
    <x v="0"/>
    <n v="111296.52"/>
    <s v="BRL"/>
    <n v="111296.52"/>
    <s v="BRL"/>
    <s v="DDM - Media - Managed Media (AOR)"/>
    <d v="2026-05-13T00:00:00"/>
    <d v="2026-04-13T00:00:00"/>
    <s v="Existing Client - Account/Growth Activity"/>
    <s v="São Carlos, BR"/>
    <s v="1"/>
    <s v="12"/>
    <s v="Customer Success"/>
    <s v="Upsell"/>
    <s v="05/2026"/>
    <s v=""/>
  </r>
  <r>
    <s v="OPP-10179"/>
    <s v="ACC-1029"/>
    <x v="32"/>
    <s v="Ana Silva"/>
    <s v="Zephyr Telecom - DDM - Media - Managed Media (AOR) - 03/2026"/>
    <s v="Flex/Renewal"/>
    <x v="0"/>
    <n v="709465.68"/>
    <s v="BRL"/>
    <n v="565465.68000000005"/>
    <s v="BRL"/>
    <s v="DDM - Media - Managed Media (AOR)"/>
    <d v="2026-04-30T00:00:00"/>
    <d v="2026-12-03T00:00:00"/>
    <s v="Inbound - Current Client (DEPRECATED)"/>
    <s v="São Carlos, BR"/>
    <s v="28"/>
    <s v="12"/>
    <s v="Customer Success"/>
    <s v="Upsell"/>
    <s v="04/2026"/>
    <s v=""/>
  </r>
  <r>
    <s v="OPP-10127"/>
    <s v="ACC-1029"/>
    <x v="32"/>
    <s v="Ana Silva"/>
    <s v="Zephyr Telecom - DDM - Media - Managed Media (AOR) - 04/2026"/>
    <s v="Change Order/Upsell"/>
    <x v="2"/>
    <n v="24501.84"/>
    <s v="BRL"/>
    <n v="24501.84"/>
    <s v="BRL"/>
    <s v="DDM - Media - Managed Media (AOR)"/>
    <d v="2026-11-03T00:00:00"/>
    <d v="2026-10-02T00:00:00"/>
    <s v="Inbound - Current Client (DEPRECATED)"/>
    <s v="São Carlos, BR"/>
    <s v="34"/>
    <s v="12"/>
    <s v="Customer Success"/>
    <s v="Upsell"/>
    <s v="11/2026"/>
    <n v="32"/>
  </r>
  <r>
    <s v="OPP-10088"/>
    <s v="ACC-1029"/>
    <x v="32"/>
    <s v="Ana Silva"/>
    <s v="Zephyr Telecom -  - 06/2026"/>
    <s v="Change Order/Upsell"/>
    <x v="2"/>
    <n v="5000"/>
    <s v="BRL"/>
    <n v="5000"/>
    <s v="BRL"/>
    <s v="DDM - Media - Managed Media (AOR)"/>
    <d v="2026-12-01T00:00:00"/>
    <d v="2026-09-01T00:00:00"/>
    <s v="Inbound - Current Client (DEPRECATED)"/>
    <s v="São Paulo, BR"/>
    <s v="92"/>
    <s v="1"/>
    <s v="Customer Success"/>
    <s v="Upsell"/>
    <s v="12/2026"/>
    <n v="91"/>
  </r>
  <r>
    <s v="OPP-10116"/>
    <s v="ACC-1029"/>
    <x v="32"/>
    <s v="Ana Silva"/>
    <s v="Zephyr Telecom -  - 06/2026"/>
    <s v="Change Order/Upsell"/>
    <x v="2"/>
    <n v="5000"/>
    <s v="BRL"/>
    <n v="5000"/>
    <s v="BRL"/>
    <s v="DDM - Media - Managed Media (AOR)"/>
    <d v="2026-02-19T00:00:00"/>
    <d v="2026-02-02T00:00:00"/>
    <s v="Inbound - Current Client (DEPRECATED)"/>
    <s v="São Carlos, BR"/>
    <s v="54"/>
    <s v="1"/>
    <s v="Customer Success"/>
    <s v="Upsell"/>
    <s v="02/2026"/>
    <n v="17"/>
  </r>
  <r>
    <s v="OPP-10235"/>
    <s v="ACC-1029"/>
    <x v="32"/>
    <s v="Ana Silva"/>
    <s v="Zephyr Telecom - DDM - Media - Managed Media (AOR) - 05/2026"/>
    <s v="Change Order/Upsell"/>
    <x v="6"/>
    <n v="0"/>
    <s v="BRL"/>
    <n v="0"/>
    <s v="BRL"/>
    <s v="DDM - Media - Managed Media (AOR)"/>
    <d v="2026-06-30T00:00:00"/>
    <d v="2026-09-04T00:00:00"/>
    <s v="MH Lead (DEPRECATED)"/>
    <s v="São Carlos, BR"/>
    <s v="5"/>
    <s v="12"/>
    <s v="Unknown"/>
    <s v="Upsell"/>
    <s v="06/2026"/>
    <s v=""/>
  </r>
  <r>
    <s v="OPP-10008"/>
    <s v="ACC-1015"/>
    <x v="84"/>
    <s v="Ana Silva"/>
    <s v="Zinnia Apparel - DDM - Media - Managed Media (AOR) - 03/2026"/>
    <s v="Flex/Renewal"/>
    <x v="2"/>
    <n v="2706200.27"/>
    <s v="BRL"/>
    <n v="145409.64000000001"/>
    <s v="BRL"/>
    <s v="DDM - Media - Managed Media (AOR)"/>
    <d v="2026-03-31T00:00:00"/>
    <d v="2025-08-22T00:00:00"/>
    <s v="Inbound - Current Client (DEPRECATED)"/>
    <s v="São Carlos, BR"/>
    <s v="14"/>
    <s v="12"/>
    <s v="Customer Success"/>
    <s v="Upsell"/>
    <s v="03/2026"/>
    <n v="221"/>
  </r>
  <r>
    <s v="OPP-10008"/>
    <s v="ACC-1015"/>
    <x v="84"/>
    <s v="Ana Silva"/>
    <s v="Zinnia Apparel - DDM - Media - Managed Media (AOR) - 03/2026"/>
    <s v="Flex/Renewal"/>
    <x v="2"/>
    <n v="2706200.27"/>
    <s v="BRL"/>
    <n v="1917154.65"/>
    <s v="BRL"/>
    <s v="DDM - Media - Managed Media (AOR)"/>
    <d v="2026-03-31T00:00:00"/>
    <d v="2025-08-22T00:00:00"/>
    <s v="Inbound - Current Client (DEPRECATED)"/>
    <s v="São Carlos, BR"/>
    <s v="14"/>
    <s v="12"/>
    <s v="Customer Success"/>
    <s v="Upsell"/>
    <s v="03/2026"/>
    <n v="221"/>
  </r>
  <r>
    <s v="OPP-10237"/>
    <s v="ACC-1015"/>
    <x v="84"/>
    <s v="Ana Silva"/>
    <s v="Zinnia Apparel - DDM - Media - Managed Media (AOR) - 03/2026"/>
    <s v="Change Order/Upsell"/>
    <x v="3"/>
    <n v="260250.72"/>
    <s v="BRL"/>
    <n v="260250.72"/>
    <s v="BRL"/>
    <s v="DDM - Media - Managed Media (AOR)"/>
    <d v="2026-06-30T00:00:00"/>
    <d v="2026-09-04T00:00:00"/>
    <s v="Existing Client - Account/Growth Activity"/>
    <s v="São Carlos, BR"/>
    <s v="5"/>
    <s v="12"/>
    <s v="Customer Success"/>
    <s v="Upsell"/>
    <s v="06/2026"/>
    <s v=""/>
  </r>
  <r>
    <s v="OPP-10103"/>
    <s v="ACC-1015"/>
    <x v="84"/>
    <s v="Bruno Costa"/>
    <s v="Zinnia Apparel - DDM - Media - Managed Media (AOR) - 03/2026"/>
    <s v="Change Order/Upsell"/>
    <x v="2"/>
    <n v="65038.05"/>
    <s v="BRL"/>
    <n v="65038.05"/>
    <s v="BRL"/>
    <s v="DDM - Media - Managed Media (AOR)"/>
    <d v="2026-03-31T00:00:00"/>
    <d v="2026-01-22T00:00:00"/>
    <s v="Inbound - Current Client (DEPRECATED)"/>
    <s v="São Carlos, BR"/>
    <s v="14"/>
    <s v="3"/>
    <s v="Customer Success"/>
    <s v="Upsell"/>
    <s v="03/2026"/>
    <n v="68"/>
  </r>
  <r>
    <s v="OPP-10196"/>
    <s v="ACC-1015"/>
    <x v="84"/>
    <s v="Ana Silva"/>
    <s v="Zinnia Apparel - DDM - Media - Managed Media (AOR) - 04/2026"/>
    <s v="Change Order/Upsell"/>
    <x v="2"/>
    <n v="44271"/>
    <s v="BRL"/>
    <n v="44271"/>
    <s v="BRL"/>
    <s v="DDM - Media - Managed Media (AOR)"/>
    <d v="2026-03-31T00:00:00"/>
    <d v="2026-03-25T00:00:00"/>
    <s v="Inbound - Current Client (DEPRECATED)"/>
    <s v="São Carlos, BR"/>
    <s v="14"/>
    <s v="3"/>
    <s v="Customer Success"/>
    <s v="Upsell"/>
    <s v="03/2026"/>
    <n v="6"/>
  </r>
  <r>
    <s v="OPP-10216"/>
    <s v="ACC-1015"/>
    <x v="84"/>
    <s v="Bruno Costa"/>
    <s v="Zinnia Apparel - DDM - Media - Managed Media (AOR) - 06/2026"/>
    <s v="Flex/Renewal"/>
    <x v="3"/>
    <n v="8049213.7800000003"/>
    <s v="BRL"/>
    <n v="8049213.7800000003"/>
    <s v="BRL"/>
    <s v="DDM - Media - Managed Media (AOR)"/>
    <d v="2026-04-30T00:00:00"/>
    <d v="2026-03-31T00:00:00"/>
    <s v="Inbound - Current Client (DEPRECATED)"/>
    <s v="São Carlos, BR"/>
    <s v="5"/>
    <s v="12"/>
    <s v="Customer Success"/>
    <s v="Upsell"/>
    <s v="04/2026"/>
    <s v=""/>
  </r>
  <r>
    <s v="OPP-10097"/>
    <s v="ACC-1014"/>
    <x v="78"/>
    <s v="Lucas Almeida"/>
    <s v="Fern Agriculture - Media - GEO/AEO - 04/2026"/>
    <s v="Project - Not Competitive"/>
    <x v="0"/>
    <n v="1410000"/>
    <s v="BRL"/>
    <n v="241200"/>
    <s v="BRL"/>
    <s v="Media - GEO/AEO"/>
    <d v="2026-04-13T00:00:00"/>
    <d v="2026-01-16T00:00:00"/>
    <s v="Inbound - Website - Media.Monks (DEPRECATED)"/>
    <s v="Votorantim, BR"/>
    <s v="21"/>
    <s v="12"/>
    <s v="Inbound"/>
    <s v="New Business"/>
    <s v="04/2026"/>
    <s v=""/>
  </r>
  <r>
    <s v="OPP-10177"/>
    <s v="ACC-1064"/>
    <x v="1"/>
    <s v="Daniel Moura"/>
    <s v="Arrow Construction - DDM - Media - Creative - 06/2026"/>
    <s v="Change Order/Upsell"/>
    <x v="5"/>
    <n v="0"/>
    <m/>
    <m/>
    <m/>
    <m/>
    <d v="2026-06-30T00:00:00"/>
    <d v="2026-12-03T00:00:00"/>
    <s v="Inbound - Current Client (DEPRECATED)"/>
    <s v="São Carlos, BR"/>
    <s v="33"/>
    <m/>
    <s v="Customer Success"/>
    <s v="Upsell"/>
    <s v="06/2026"/>
    <s v=""/>
  </r>
  <r>
    <s v="OPP-10230"/>
    <s v="ACC-1062"/>
    <x v="3"/>
    <s v="Sofia Guimaraes"/>
    <s v="Cedar Foods -  - 06/2026"/>
    <s v="Change Order/Upsell"/>
    <x v="5"/>
    <n v="0"/>
    <m/>
    <m/>
    <m/>
    <m/>
    <d v="2026-06-30T00:00:00"/>
    <d v="2026-08-04T00:00:00"/>
    <s v="Website - Sales Form"/>
    <s v="Votorantim, BR"/>
    <s v="6"/>
    <s v="12"/>
    <s v="Unknown"/>
    <s v="Upsell"/>
    <s v="06/2026"/>
    <s v=""/>
  </r>
  <r>
    <s v="OPP-10141"/>
    <s v="ACC-1114"/>
    <x v="103"/>
    <s v="Wanda Borges"/>
    <s v="Company 113 - DDM - Media - Managed Media (AOR) - 04/2026"/>
    <s v="Project - Competitive"/>
    <x v="5"/>
    <n v="0"/>
    <m/>
    <m/>
    <m/>
    <m/>
    <d v="2026-01-07T00:00:00"/>
    <d v="2026-02-18T00:00:00"/>
    <s v="Referral - S4 Company"/>
    <s v="São Paulo, BR"/>
    <s v="55"/>
    <m/>
    <s v="Referral"/>
    <s v="New Business"/>
    <s v="01/2026"/>
    <s v=""/>
  </r>
  <r>
    <s v="OPP-10206"/>
    <s v="ACC-1124"/>
    <x v="119"/>
    <s v="Lucas Almeida"/>
    <s v="Company 123 -  - 05/2026"/>
    <m/>
    <x v="5"/>
    <n v="0"/>
    <m/>
    <m/>
    <m/>
    <m/>
    <d v="2026-06-05T00:00:00"/>
    <d v="2026-03-30T00:00:00"/>
    <s v="Referral - Internal"/>
    <s v="Votorantim, BR"/>
    <s v="15"/>
    <m/>
    <s v="Referral"/>
    <s v="Upsell"/>
    <s v="06/2026"/>
    <s v=""/>
  </r>
  <r>
    <s v="OPP-10210"/>
    <s v="ACC-1125"/>
    <x v="120"/>
    <s v="Nicolas Teixeira"/>
    <s v="Company 124 -  - 05/2026"/>
    <s v="Project - Not Competitive"/>
    <x v="5"/>
    <n v="0"/>
    <m/>
    <m/>
    <m/>
    <m/>
    <d v="2026-05-29T00:00:00"/>
    <d v="2026-03-30T00:00:00"/>
    <s v="Referral - Partner - Google Marketing Platform"/>
    <s v="São Paulo, BR"/>
    <s v="15"/>
    <s v="12"/>
    <s v="Referral"/>
    <s v="New Business"/>
    <s v="05/2026"/>
    <s v=""/>
  </r>
  <r>
    <s v="OPP-10248"/>
    <s v="ACC-1127"/>
    <x v="121"/>
    <s v="Nicolas Teixeira"/>
    <s v="Company 126 -  - 05/2026"/>
    <s v="Project - Competitive"/>
    <x v="5"/>
    <n v="0"/>
    <m/>
    <m/>
    <m/>
    <m/>
    <d v="2026-10-05T00:00:00"/>
    <d v="2026-10-04T00:00:00"/>
    <s v="Referral - Internal"/>
    <s v="São Paulo, BR"/>
    <s v="4"/>
    <m/>
    <s v="Referral"/>
    <s v="New Business"/>
    <s v="10/2026"/>
    <s v=""/>
  </r>
  <r>
    <s v="OPP-10257"/>
    <s v="ACC-1129"/>
    <x v="122"/>
    <s v="Joao Pereira"/>
    <s v="Company 128 -  - 06/2026"/>
    <s v="Project - Competitive"/>
    <x v="5"/>
    <n v="0"/>
    <m/>
    <m/>
    <m/>
    <m/>
    <d v="2026-08-06T00:00:00"/>
    <d v="2026-04-13T00:00:00"/>
    <s v="Referral - Personal"/>
    <s v="Votorantim, BR"/>
    <s v="1"/>
    <m/>
    <s v="Referral"/>
    <s v="New Business"/>
    <s v="08/2026"/>
    <s v=""/>
  </r>
  <r>
    <s v="OPP-10258"/>
    <s v="ACC-1130"/>
    <x v="123"/>
    <s v="Joao Pereira"/>
    <s v="Company 129 -  - 05/2026"/>
    <s v="Project - Competitive"/>
    <x v="5"/>
    <n v="0"/>
    <m/>
    <m/>
    <m/>
    <m/>
    <d v="2026-05-13T00:00:00"/>
    <d v="2026-04-13T00:00:00"/>
    <s v="Referral - Personal"/>
    <s v="Votorantim, BR"/>
    <s v="1"/>
    <m/>
    <s v="Referral"/>
    <s v="New Business"/>
    <s v="05/2026"/>
    <s v=""/>
  </r>
  <r>
    <s v="OPP-10222"/>
    <s v="ACC-1067"/>
    <x v="124"/>
    <s v="Sofia Guimaraes"/>
    <s v="Echo Insurance -  - 06/2026"/>
    <s v="Change Order/Upsell"/>
    <x v="5"/>
    <n v="0"/>
    <m/>
    <m/>
    <m/>
    <m/>
    <d v="2026-06-30T00:00:00"/>
    <d v="2026-02-04T00:00:00"/>
    <s v="Inbound - Current Client (DEPRECATED)"/>
    <s v="São Paulo, BR"/>
    <s v="12"/>
    <m/>
    <s v="Customer Success"/>
    <s v="Upsell"/>
    <s v="06/2026"/>
    <s v=""/>
  </r>
  <r>
    <s v="OPP-10211"/>
    <s v="ACC-1001"/>
    <x v="125"/>
    <s v="Nicolas Teixeira"/>
    <s v="Eucalyptus Fintech -  - 04/2026"/>
    <s v="Project - Not Competitive"/>
    <x v="5"/>
    <n v="0"/>
    <m/>
    <m/>
    <m/>
    <m/>
    <d v="2026-04-29T00:00:00"/>
    <d v="2026-03-30T00:00:00"/>
    <s v="Referral - Internal"/>
    <s v="São Paulo, BR"/>
    <s v="15"/>
    <m/>
    <s v="Referral"/>
    <s v="New Business"/>
    <s v="04/2026"/>
    <s v=""/>
  </r>
  <r>
    <s v="OPP-10238"/>
    <s v="ACC-1090"/>
    <x v="57"/>
    <s v="Bruno Costa"/>
    <s v="Filbert Sports -  - 07/2026"/>
    <s v="Change Order/Upsell"/>
    <x v="5"/>
    <n v="0"/>
    <m/>
    <m/>
    <m/>
    <m/>
    <d v="2026-07-31T00:00:00"/>
    <d v="2026-09-04T00:00:00"/>
    <s v="Existing Client - Account/Growth Activity"/>
    <s v="Votorantim, BR"/>
    <s v="5"/>
    <m/>
    <s v="Customer Success"/>
    <s v="Upsell"/>
    <s v="07/2026"/>
    <s v=""/>
  </r>
  <r>
    <s v="OPP-10247"/>
    <s v="ACC-1073"/>
    <x v="126"/>
    <s v="Nicolas Teixeira"/>
    <s v="Lotus Beverages -  - 05/2026"/>
    <s v="Project - Not Competitive"/>
    <x v="5"/>
    <n v="0"/>
    <m/>
    <m/>
    <m/>
    <m/>
    <d v="2026-10-05T00:00:00"/>
    <d v="2026-10-04T00:00:00"/>
    <s v="Referral - S4 Company"/>
    <s v="São Carlos, BR"/>
    <s v="4"/>
    <m/>
    <s v="Referral"/>
    <s v="New Business"/>
    <s v="10/2026"/>
    <s v=""/>
  </r>
  <r>
    <s v="OPP-10215"/>
    <s v="ACC-1077"/>
    <x v="127"/>
    <s v="Vinicius Cardoso"/>
    <s v="Mesa Electronics -  - 03/2026"/>
    <m/>
    <x v="5"/>
    <n v="0"/>
    <m/>
    <m/>
    <m/>
    <m/>
    <d v="2026-03-31T00:00:00"/>
    <d v="2026-03-31T00:00:00"/>
    <s v="Inbound - Website - Media.Monks (DEPRECATED)"/>
    <s v="São Paulo, BR"/>
    <s v="14"/>
    <m/>
    <s v="Inbound"/>
    <s v="Upsell"/>
    <s v="03/2026"/>
    <s v=""/>
  </r>
  <r>
    <s v="OPP-10253"/>
    <s v="ACC-1087"/>
    <x v="128"/>
    <s v="Felipe Lima"/>
    <s v="Mulberry Electronics -  - 05/2026"/>
    <s v="Project - Competitive"/>
    <x v="5"/>
    <n v="0"/>
    <m/>
    <m/>
    <m/>
    <m/>
    <d v="2026-05-13T00:00:00"/>
    <d v="2026-04-13T00:00:00"/>
    <s v="Referral - Internal"/>
    <s v="São Paulo, BR"/>
    <s v="1"/>
    <s v="12"/>
    <s v="Referral"/>
    <s v="New Business"/>
    <s v="05/2026"/>
    <s v=""/>
  </r>
  <r>
    <s v="OPP-10115"/>
    <s v="ACC-1031"/>
    <x v="17"/>
    <s v="Queila Ribeiro"/>
    <s v="Nova Studios - DDM - Media - Managed Media (AOR) - 05/2026"/>
    <s v="Change Order/Upsell"/>
    <x v="6"/>
    <n v="0"/>
    <m/>
    <m/>
    <m/>
    <m/>
    <d v="2026-05-31T00:00:00"/>
    <d v="2026-02-02T00:00:00"/>
    <s v="Inbound - Current Client (DEPRECATED)"/>
    <s v="São Carlos, BR"/>
    <s v="71"/>
    <m/>
    <s v="Customer Success"/>
    <s v="Upsell"/>
    <s v="05/2026"/>
    <s v=""/>
  </r>
  <r>
    <s v="OPP-10156"/>
    <s v="ACC-1031"/>
    <x v="17"/>
    <s v="Queila Ribeiro"/>
    <s v="Nova Studios -  - 05/2026"/>
    <s v="Change Order/Upsell"/>
    <x v="5"/>
    <n v="0"/>
    <m/>
    <m/>
    <m/>
    <m/>
    <d v="2026-05-31T00:00:00"/>
    <d v="2026-02-03T00:00:00"/>
    <s v="Inbound - Current Client (DEPRECATED)"/>
    <s v="São Carlos, BR"/>
    <s v="43"/>
    <m/>
    <s v="Customer Success"/>
    <s v="Upsell"/>
    <s v="05/2026"/>
    <s v=""/>
  </r>
  <r>
    <s v="OPP-10252"/>
    <s v="ACC-1013"/>
    <x v="129"/>
    <s v="Joao Pereira"/>
    <s v="Patchouli Energy -  - 07/2026"/>
    <m/>
    <x v="5"/>
    <n v="0"/>
    <m/>
    <m/>
    <m/>
    <m/>
    <d v="2026-01-07T00:00:00"/>
    <d v="2026-10-04T00:00:00"/>
    <s v="Referral - Personal"/>
    <s v="São Carlos, BR"/>
    <s v="4"/>
    <m/>
    <s v="Referral"/>
    <s v="Upsell"/>
    <s v="01/2026"/>
    <s v=""/>
  </r>
  <r>
    <s v="OPP-10013"/>
    <s v="ACC-1040"/>
    <x v="47"/>
    <s v="Sofia Guimaraes"/>
    <s v="Quartz Pharma - DDM - Media - Creative - 06/2026"/>
    <s v="Change Order/Upsell"/>
    <x v="5"/>
    <n v="0"/>
    <m/>
    <m/>
    <m/>
    <m/>
    <d v="2026-06-30T00:00:00"/>
    <d v="2025-12-09T00:00:00"/>
    <s v="Inbound - Current Client (DEPRECATED)"/>
    <s v="São Paulo, BR"/>
    <s v="180"/>
    <s v="12"/>
    <s v="Customer Success"/>
    <s v="Upsell"/>
    <s v="06/2026"/>
    <s v=""/>
  </r>
  <r>
    <s v="OPP-10261"/>
    <s v="ACC-1027"/>
    <x v="116"/>
    <s v="Daniel Moura"/>
    <s v="Rosemary Auto -  - 07/2026"/>
    <s v="Change Order/Upsell"/>
    <x v="5"/>
    <n v="0"/>
    <m/>
    <m/>
    <m/>
    <m/>
    <d v="2026-07-31T00:00:00"/>
    <d v="2026-04-14T00:00:00"/>
    <s v="MH Lead (DEPRECATED)"/>
    <s v="São Carlos, BR"/>
    <s v="0"/>
    <m/>
    <s v="Unknown"/>
    <s v="Upsell"/>
    <s v="07/2026"/>
    <s v=""/>
  </r>
  <r>
    <s v="OPP-10246"/>
    <s v="ACC-1063"/>
    <x v="23"/>
    <s v="Ana Silva"/>
    <s v="Saffron Fashion -  - 06/2026"/>
    <s v="Change Order/Upsell"/>
    <x v="5"/>
    <n v="0"/>
    <m/>
    <m/>
    <m/>
    <m/>
    <d v="2026-06-30T00:00:00"/>
    <d v="2026-10-04T00:00:00"/>
    <s v="MH Lead (DEPRECATED)"/>
    <s v="São Carlos, BR"/>
    <s v="4"/>
    <m/>
    <s v="Unknown"/>
    <s v="Upsell"/>
    <s v="06/2026"/>
    <s v=""/>
  </r>
  <r>
    <s v="OPP-10122"/>
    <s v="ACC-1089"/>
    <x v="59"/>
    <s v="Karina Oliveira"/>
    <s v="Sage Streaming - DDM - Media - Managed Media (AOR) - 05/2026"/>
    <s v="Change Order/Upsell"/>
    <x v="6"/>
    <n v="0"/>
    <m/>
    <m/>
    <m/>
    <m/>
    <d v="2026-01-05T00:00:00"/>
    <d v="2026-05-02T00:00:00"/>
    <s v="Inbound - Current Client (DEPRECATED)"/>
    <s v="São Carlos, BR"/>
    <s v="68"/>
    <s v="12"/>
    <s v="Customer Success"/>
    <s v="Upsell"/>
    <s v="01/2026"/>
    <s v=""/>
  </r>
  <r>
    <s v="OPP-10224"/>
    <s v="ACC-1091"/>
    <x v="28"/>
    <s v="Karina Oliveira"/>
    <s v="Wren Chemicals -  - 05/2026"/>
    <s v="Change Order/Upsell"/>
    <x v="5"/>
    <n v="0"/>
    <m/>
    <m/>
    <m/>
    <m/>
    <d v="2026-05-29T00:00:00"/>
    <d v="2026-02-04T00:00:00"/>
    <s v="MH Lead (DEPRECATED)"/>
    <s v="São Carlos, BR"/>
    <s v="12"/>
    <s v="12"/>
    <s v="Unknown"/>
    <s v="Upsell"/>
    <s v="05/2026"/>
    <s v=""/>
  </r>
  <r>
    <s v="OPP-10200"/>
    <s v="ACC-1029"/>
    <x v="32"/>
    <s v="Ana Silva"/>
    <s v="Zephyr Telecom - DDM - Media - Managed Media (AOR) - 06/2026"/>
    <s v="Change Order/Upsell"/>
    <x v="5"/>
    <n v="0"/>
    <m/>
    <m/>
    <m/>
    <m/>
    <d v="2026-06-30T00:00:00"/>
    <d v="2026-03-26T00:00:00"/>
    <s v="Inbound - Current Client (DEPRECATED)"/>
    <s v="São Carlos, BR"/>
    <s v="19"/>
    <s v="12"/>
    <s v="Customer Success"/>
    <s v="Upsell"/>
    <s v="06/2026"/>
    <s v=""/>
  </r>
  <r>
    <s v="OPP-10201"/>
    <s v="ACC-1029"/>
    <x v="32"/>
    <s v="Ana Silva"/>
    <s v="Zephyr Telecom - Content - Social - Project - 07/2026"/>
    <s v="Change Order/Upsell"/>
    <x v="5"/>
    <n v="0"/>
    <m/>
    <m/>
    <m/>
    <m/>
    <d v="2026-06-30T00:00:00"/>
    <d v="2026-03-26T00:00:00"/>
    <s v="Inbound - Current Client (DEPRECATED)"/>
    <s v="São Carlos, BR"/>
    <s v="19"/>
    <m/>
    <s v="Customer Success"/>
    <s v="Upsell"/>
    <s v="06/2026"/>
    <s v="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413">
  <r>
    <x v="0"/>
    <s v="ACC-1037"/>
    <s v="Acacia Telecom"/>
    <s v="Bruno Costa"/>
    <s v="Acacia Telecom - DDM - Media - Managed Media (AOR) - 04/2026"/>
    <x v="0"/>
    <x v="0"/>
    <n v="601599.48"/>
    <s v="BRL"/>
    <n v="95637.84"/>
    <s v="BRL"/>
    <s v="Content - Platform - Performance, SEO, CRM &amp; Loyalty"/>
    <d v="2026-04-30T00:00:00"/>
    <d v="2026-02-26T00:00:00"/>
    <s v="Inbound - Current Client (DEPRECATED)"/>
    <s v="São Carlos, BR"/>
    <s v="42"/>
    <s v="12"/>
    <x v="0"/>
  </r>
  <r>
    <x v="1"/>
    <s v="ACC-1064"/>
    <s v="Arrow Construction"/>
    <s v="Daniel Moura"/>
    <s v="Arrow Construction - DDM - Media - Managed Media (AOR) - 05/2026"/>
    <x v="0"/>
    <x v="1"/>
    <n v="1429074.08"/>
    <s v="BRL"/>
    <n v="510758.40000000002"/>
    <s v="BRL"/>
    <s v="Content - Platform - Performance, SEO, CRM &amp; Loyalty"/>
    <d v="2026-05-29T00:00:00"/>
    <d v="2026-02-13T00:00:00"/>
    <s v="Inbound - Current Client (DEPRECATED)"/>
    <s v="São Carlos, BR"/>
    <s v="33"/>
    <s v="12"/>
    <x v="0"/>
  </r>
  <r>
    <x v="2"/>
    <s v="ACC-1101"/>
    <s v="Basil Sports"/>
    <s v="Xavier Correia"/>
    <s v="Basil Sports - Content - Platform - Performance, SEO, CRM &amp; Loyalty - 03/2026"/>
    <x v="1"/>
    <x v="2"/>
    <n v="50514.15"/>
    <s v="BRL"/>
    <n v="50514.15"/>
    <s v="BRL"/>
    <s v="Content - Platform - Performance, SEO, CRM &amp; Loyalty"/>
    <d v="2026-03-26T00:00:00"/>
    <d v="2026-06-02T00:00:00"/>
    <s v="Don't Know/Other (DEPRECATED)"/>
    <s v="São Carlos, BR"/>
    <s v="19"/>
    <s v="1,5"/>
    <x v="1"/>
  </r>
  <r>
    <x v="3"/>
    <s v="ACC-1062"/>
    <s v="Cedar Foods"/>
    <s v="Daniel Moura"/>
    <s v="Cedar Foods - Content - Platform - Performance, SEO, CRM &amp; Loyalty - 06/2026"/>
    <x v="0"/>
    <x v="1"/>
    <n v="4565828.57"/>
    <s v="BRL"/>
    <n v="443593.21"/>
    <s v="BRL"/>
    <s v="Content - Platform - Performance, SEO, CRM &amp; Loyalty"/>
    <d v="2026-06-30T00:00:00"/>
    <d v="2026-01-26T00:00:00"/>
    <s v="Inbound - Current Client (DEPRECATED)"/>
    <s v="Votorantim, BR"/>
    <s v="33"/>
    <s v="12"/>
    <x v="0"/>
  </r>
  <r>
    <x v="3"/>
    <s v="ACC-1062"/>
    <s v="Cedar Foods"/>
    <s v="Daniel Moura"/>
    <s v="Cedar Foods - Content - Platform - Performance, SEO, CRM &amp; Loyalty - 06/2026"/>
    <x v="0"/>
    <x v="1"/>
    <n v="4565828.57"/>
    <s v="BRL"/>
    <n v="328515"/>
    <s v="BRL"/>
    <s v="Content - Platform - Performance, SEO, CRM &amp; Loyalty"/>
    <d v="2026-06-30T00:00:00"/>
    <d v="2026-01-26T00:00:00"/>
    <s v="Inbound - Current Client (DEPRECATED)"/>
    <s v="Votorantim, BR"/>
    <s v="33"/>
    <s v="12"/>
    <x v="0"/>
  </r>
  <r>
    <x v="4"/>
    <s v="ACC-1112"/>
    <s v="Company 111"/>
    <s v="Xavier Correia"/>
    <s v="Company 111 - Content - Platform - Performance, SEO, CRM &amp; Loyalty - 02/2026"/>
    <x v="2"/>
    <x v="2"/>
    <n v="4293965.2399999993"/>
    <s v="BRL"/>
    <n v="526427.28"/>
    <s v="BRL"/>
    <s v="Content - Platform - Performance, SEO, CRM &amp; Loyalty"/>
    <d v="2026-02-27T00:00:00"/>
    <d v="2026-01-20T00:00:00"/>
    <s v="Referral - S4 Company"/>
    <s v="São Carlos, BR"/>
    <s v="46"/>
    <s v="12"/>
    <x v="2"/>
  </r>
  <r>
    <x v="5"/>
    <s v="ACC-1115"/>
    <s v="Company 114"/>
    <s v="Xavier Correia"/>
    <s v="Company 114 - Content - Platform - Performance, SEO, CRM &amp; Loyalty - 06/2026"/>
    <x v="2"/>
    <x v="1"/>
    <n v="877063.2"/>
    <s v="BRL"/>
    <n v="460392"/>
    <s v="BRL"/>
    <s v="Content - Platform - Performance, SEO, CRM &amp; Loyalty"/>
    <d v="2026-06-30T00:00:00"/>
    <d v="2026-10-04T00:00:00"/>
    <s v="MH Lead (DEPRECATED)"/>
    <s v="Votorantim, BR"/>
    <s v="4"/>
    <s v="12"/>
    <x v="1"/>
  </r>
  <r>
    <x v="6"/>
    <s v="ACC-1119"/>
    <s v="Company 118"/>
    <s v="Wanda Borges"/>
    <s v="Company 118 - Content - Platform - Performance, SEO, CRM &amp; Loyalty - 05/2026"/>
    <x v="2"/>
    <x v="1"/>
    <n v="2344909.7999999998"/>
    <s v="BRL"/>
    <n v="853158.72"/>
    <s v="BRL"/>
    <s v="Content - Platform - Performance, SEO, CRM &amp; Loyalty"/>
    <d v="2026-05-29T00:00:00"/>
    <d v="2026-02-27T00:00:00"/>
    <s v="Inbound - Website - Media.Monks (DEPRECATED)"/>
    <s v="Votorantim, BR"/>
    <s v="15"/>
    <s v="12"/>
    <x v="3"/>
  </r>
  <r>
    <x v="6"/>
    <s v="ACC-1119"/>
    <s v="Company 118"/>
    <s v="Wanda Borges"/>
    <s v="Company 118 - Content - Platform - Performance, SEO, CRM &amp; Loyalty - 05/2026"/>
    <x v="2"/>
    <x v="1"/>
    <n v="2344909.7999999998"/>
    <s v="BRL"/>
    <n v="211859.76"/>
    <s v="BRL"/>
    <s v="Content - Platform - Performance, SEO, CRM &amp; Loyalty"/>
    <d v="2026-05-29T00:00:00"/>
    <d v="2026-02-27T00:00:00"/>
    <s v="Inbound - Website - Media.Monks (DEPRECATED)"/>
    <s v="Votorantim, BR"/>
    <s v="15"/>
    <s v="12"/>
    <x v="3"/>
  </r>
  <r>
    <x v="7"/>
    <s v="ACC-1050"/>
    <s v="Dune Ecommerce"/>
    <s v="Queila Ribeiro"/>
    <s v="Dune Ecommerce - Content - Platform - Performance, SEO, CRM &amp; Loyalty - 03/2026"/>
    <x v="0"/>
    <x v="2"/>
    <n v="1818447"/>
    <s v="BRL"/>
    <n v="270000"/>
    <s v="BRL"/>
    <s v="Content - Platform - Performance, SEO, CRM &amp; Loyalty"/>
    <d v="2026-03-24T00:00:00"/>
    <d v="2025-12-15T00:00:00"/>
    <s v="Inbound - Current Client (DEPRECATED)"/>
    <s v="São Carlos, BR"/>
    <s v="21"/>
    <s v="8"/>
    <x v="0"/>
  </r>
  <r>
    <x v="8"/>
    <s v="ACC-1050"/>
    <s v="Dune Ecommerce"/>
    <s v="Queila Ribeiro"/>
    <s v="Dune Ecommerce - Content - Platform - Website Creation &amp; Production - 03/2026"/>
    <x v="0"/>
    <x v="0"/>
    <n v="646888.19999999995"/>
    <s v="BRL"/>
    <n v="646888.19999999995"/>
    <s v="BRL"/>
    <s v="Content - Platform - Performance, SEO, CRM &amp; Loyalty"/>
    <d v="2026-04-30T00:00:00"/>
    <d v="2026-02-23T00:00:00"/>
    <s v="Inbound - Current Client (DEPRECATED)"/>
    <s v="São Carlos, BR"/>
    <s v="8"/>
    <s v="12"/>
    <x v="0"/>
  </r>
  <r>
    <x v="9"/>
    <s v="ACC-1050"/>
    <s v="Dune Ecommerce"/>
    <s v="Queila Ribeiro"/>
    <s v="Dune Ecommerce - Content - Platform - Performance, SEO, CRM &amp; Loyalty - 04/2026"/>
    <x v="0"/>
    <x v="3"/>
    <n v="296000"/>
    <s v="BRL"/>
    <n v="166000"/>
    <s v="BRL"/>
    <s v="Content - Platform - Performance, SEO, CRM &amp; Loyalty"/>
    <d v="2026-05-31T00:00:00"/>
    <d v="2026-03-14T00:00:00"/>
    <s v="Inbound - Current Client (DEPRECATED)"/>
    <s v="São Carlos, BR"/>
    <s v="13"/>
    <s v="6"/>
    <x v="0"/>
  </r>
  <r>
    <x v="10"/>
    <s v="ACC-1050"/>
    <s v="Dune Ecommerce"/>
    <s v="Queila Ribeiro"/>
    <s v="Dune Ecommerce - Content - Platform - Website Creation &amp; Production - 05/2026"/>
    <x v="3"/>
    <x v="0"/>
    <n v="2281464.96"/>
    <s v="BRL"/>
    <n v="2281464.96"/>
    <s v="BRL"/>
    <s v="Content - Platform - Performance, SEO, CRM &amp; Loyalty"/>
    <d v="2026-04-30T00:00:00"/>
    <d v="2026-02-23T00:00:00"/>
    <s v="Inbound - Current Client (DEPRECATED)"/>
    <s v="São Carlos, BR"/>
    <s v="8"/>
    <s v="12"/>
    <x v="0"/>
  </r>
  <r>
    <x v="11"/>
    <s v="ACC-1022"/>
    <s v="Ember Hospitality"/>
    <s v="Sofia Guimaraes"/>
    <s v="Ember Hospitality - Content - Platform - Performance, SEO, CRM &amp; Loyalty - 04/2026"/>
    <x v="0"/>
    <x v="2"/>
    <n v="1653085.7999999998"/>
    <s v="BRL"/>
    <n v="732711.84"/>
    <s v="BRL"/>
    <s v="Content - Platform - Performance, SEO, CRM &amp; Loyalty"/>
    <d v="2026-04-13T00:00:00"/>
    <d v="2025-10-24T00:00:00"/>
    <s v="Inbound - Current Client (DEPRECATED)"/>
    <s v="São Carlos, BR"/>
    <s v="1"/>
    <s v="10"/>
    <x v="0"/>
  </r>
  <r>
    <x v="12"/>
    <s v="ACC-1053"/>
    <s v="Hemlock Insurance"/>
    <s v="Bernardo Castro"/>
    <s v="Hemlock Insurance - DDM - Data - Services &amp; Tech - Services (Analytics &amp; Support) - 06/2026"/>
    <x v="0"/>
    <x v="1"/>
    <n v="492000"/>
    <s v="BRL"/>
    <n v="492000"/>
    <s v="BRL"/>
    <s v="Content - Platform - Performance, SEO, CRM &amp; Loyalty"/>
    <d v="2026-05-31T00:00:00"/>
    <d v="2026-03-30T00:00:00"/>
    <s v="Inbound - Current Client (DEPRECATED) "/>
    <s v="São Carlos, BR"/>
    <s v="5"/>
    <s v="12"/>
    <x v="0"/>
  </r>
  <r>
    <x v="13"/>
    <s v="ACC-1023"/>
    <s v="Iris Delivery"/>
    <s v="Amanda Rios"/>
    <s v="Iris Delivery - DDM - Data - Services &amp; Tech - Services (Analytics &amp; Support) - 04/2026"/>
    <x v="0"/>
    <x v="2"/>
    <n v="77204.399999999994"/>
    <s v="BRL"/>
    <n v="77204.399999999994"/>
    <s v="BRL"/>
    <s v="Content - Platform - Performance, SEO, CRM &amp; Loyalty"/>
    <d v="2026-05-03T00:00:00"/>
    <d v="2026-01-22T00:00:00"/>
    <s v="Inbound - Current Client (DEPRECATED)"/>
    <s v="Votorantim, BR"/>
    <s v="40"/>
    <s v="12"/>
    <x v="0"/>
  </r>
  <r>
    <x v="14"/>
    <s v="ACC-1045"/>
    <s v="Jasper Security"/>
    <s v="Felipe Lima"/>
    <s v="Jasper Security - Content - Platform - Performance, SEO, CRM &amp; Loyalty - 05/2026"/>
    <x v="2"/>
    <x v="3"/>
    <n v="6208423.2000000002"/>
    <s v="BRL"/>
    <n v="1026107.52"/>
    <s v="BRL"/>
    <s v="Content - Platform - Performance, SEO, CRM &amp; Loyalty"/>
    <d v="2026-05-13T00:00:00"/>
    <d v="2025-11-26T00:00:00"/>
    <s v="Referral - Internal"/>
    <s v="Votorantim, BR"/>
    <s v="64"/>
    <s v="12"/>
    <x v="2"/>
  </r>
  <r>
    <x v="15"/>
    <s v="ACC-1010"/>
    <s v="Juniper Data"/>
    <s v="Lucas Almeida"/>
    <s v="Juniper Data - Content - Platform - Performance, SEO, CRM &amp; Loyalty - 06/2026"/>
    <x v="2"/>
    <x v="3"/>
    <n v="286464"/>
    <s v="BRL"/>
    <n v="12000"/>
    <s v="BRL"/>
    <s v="Content - Platform - Performance, SEO, CRM &amp; Loyalty"/>
    <d v="2026-06-29T00:00:00"/>
    <d v="2025-03-11T00:00:00"/>
    <s v="Industry Event"/>
    <s v="São Carlos, BR"/>
    <s v="134"/>
    <s v="24"/>
    <x v="4"/>
  </r>
  <r>
    <x v="16"/>
    <s v="ACC-1099"/>
    <s v="Kiwi Logistics"/>
    <s v="Yasmin Nogueira"/>
    <s v="Kiwi Logistics - Content - Platform - Performance, SEO, CRM &amp; Loyalty - 05/2026"/>
    <x v="2"/>
    <x v="2"/>
    <n v="75753.77"/>
    <s v="BRL"/>
    <n v="75753.77"/>
    <s v="BRL"/>
    <s v="Content - Platform - Performance, SEO, CRM &amp; Loyalty"/>
    <d v="2026-03-31T00:00:00"/>
    <d v="2026-01-23T00:00:00"/>
    <s v="Referral - S4 Company"/>
    <s v="São Carlos, BR"/>
    <s v="14"/>
    <s v="3"/>
    <x v="2"/>
  </r>
  <r>
    <x v="17"/>
    <s v="ACC-1099"/>
    <s v="Kiwi Logistics"/>
    <s v="Xavier Correia"/>
    <s v="Kiwi Logistics - Content - Platform - Performance, SEO, CRM &amp; Loyalty - 03/2026"/>
    <x v="1"/>
    <x v="0"/>
    <n v="42721.49"/>
    <s v="BRL"/>
    <n v="42721.49"/>
    <s v="BRL"/>
    <s v="Content - Platform - Performance, SEO, CRM &amp; Loyalty"/>
    <d v="2026-11-05T00:00:00"/>
    <d v="2025-01-10T00:00:00"/>
    <s v="Referral - S4 Company"/>
    <s v="São Carlos, BR"/>
    <s v="175"/>
    <s v="2"/>
    <x v="2"/>
  </r>
  <r>
    <x v="18"/>
    <s v="ACC-1041"/>
    <s v="Linden Foods"/>
    <s v="Amanda Rios"/>
    <s v="Linden Foods - Content - Platform - Performance, SEO, CRM &amp; Loyalty - 05/2026"/>
    <x v="3"/>
    <x v="3"/>
    <n v="1926466.8"/>
    <s v="BRL"/>
    <n v="464061.12"/>
    <s v="BRL"/>
    <s v="Content - Platform - Performance, SEO, CRM &amp; Loyalty"/>
    <d v="2026-05-31T00:00:00"/>
    <d v="2026-02-20T00:00:00"/>
    <s v="Inbound - Current Client (DEPRECATED)"/>
    <s v="São Carlos, BR"/>
    <s v="26"/>
    <s v="12"/>
    <x v="0"/>
  </r>
  <r>
    <x v="19"/>
    <s v="ACC-1066"/>
    <s v="Magnolia Retail"/>
    <s v="Carla Mendes"/>
    <s v="Magnolia Retail - Content - Platform - Performance, SEO, CRM &amp; Loyalty - 05/2026"/>
    <x v="0"/>
    <x v="1"/>
    <n v="795900.24"/>
    <s v="BRL"/>
    <n v="45000"/>
    <s v="BRL"/>
    <s v="Content - Platform - Performance, SEO, CRM &amp; Loyalty"/>
    <d v="2026-05-31T00:00:00"/>
    <d v="2026-04-02T00:00:00"/>
    <s v="Inbound - Current Client (DEPRECATED)"/>
    <s v="São Carlos, BR"/>
    <s v="69"/>
    <s v="3"/>
    <x v="0"/>
  </r>
  <r>
    <x v="20"/>
    <s v="ACC-1084"/>
    <s v="Nigella Security"/>
    <s v="Bruno Costa"/>
    <s v="Nigella Security - DDM - Media - Managed Media (AOR) - 05/2026"/>
    <x v="0"/>
    <x v="4"/>
    <n v="192000"/>
    <s v="BRL"/>
    <n v="192000"/>
    <s v="BRL"/>
    <s v="Content - Platform - Performance, SEO, CRM &amp; Loyalty"/>
    <d v="2026-05-31T00:00:00"/>
    <d v="2025-11-28T00:00:00"/>
    <s v="Inbound - Current Client (DEPRECATED)"/>
    <s v="São Carlos, BR"/>
    <s v="137"/>
    <s v="12"/>
    <x v="0"/>
  </r>
  <r>
    <x v="21"/>
    <s v="ACC-1031"/>
    <s v="Nova Studios"/>
    <s v="Queila Ribeiro"/>
    <s v="Nova Studios - DDM - Data - Services &amp; Tech - Services (Analytics &amp; Support) - 03/2026"/>
    <x v="0"/>
    <x v="3"/>
    <n v="3015949.3200000003"/>
    <s v="BRL"/>
    <n v="1885842.96"/>
    <s v="BRL"/>
    <s v="Content - Platform - Performance, SEO, CRM &amp; Loyalty"/>
    <d v="2026-07-31T00:00:00"/>
    <d v="2025-01-12T00:00:00"/>
    <s v="Inbound - Current Client (DEPRECATED)"/>
    <s v="São Carlos, BR"/>
    <s v="134"/>
    <s v="12"/>
    <x v="0"/>
  </r>
  <r>
    <x v="22"/>
    <s v="ACC-1056"/>
    <s v="Orion Bank"/>
    <s v="Carla Mendes"/>
    <s v="Orion Bank - Content - Platform - Performance, SEO, CRM &amp; Loyalty - 03/2026"/>
    <x v="0"/>
    <x v="2"/>
    <n v="222000"/>
    <s v="BRL"/>
    <n v="222000"/>
    <s v="BRL"/>
    <s v="Content - Platform - Performance, SEO, CRM &amp; Loyalty"/>
    <d v="2026-09-03T00:00:00"/>
    <d v="2025-09-09T00:00:00"/>
    <s v="Inbound - Current Client (DEPRECATED)"/>
    <s v="Votorantim, BR"/>
    <s v="36"/>
    <s v="8"/>
    <x v="0"/>
  </r>
  <r>
    <x v="23"/>
    <s v="ACC-1071"/>
    <s v="Pomelo Ecommerce"/>
    <s v="Wanda Borges"/>
    <s v="Pomelo Ecommerce - Content - Platform - Performance, SEO, CRM &amp; Loyalty - 05/2026"/>
    <x v="1"/>
    <x v="4"/>
    <n v="149540.79"/>
    <s v="BRL"/>
    <n v="149540.79"/>
    <s v="BRL"/>
    <s v="Content - Platform - Performance, SEO, CRM &amp; Loyalty"/>
    <d v="2026-08-05T00:00:00"/>
    <d v="2026-02-18T00:00:00"/>
    <s v="Referral - S4 Company"/>
    <s v="São Carlos, BR"/>
    <s v="55"/>
    <s v="3"/>
    <x v="2"/>
  </r>
  <r>
    <x v="24"/>
    <s v="ACC-1051"/>
    <s v="Pyrite Fintech"/>
    <s v="Karina Oliveira"/>
    <s v="Pyrite Fintech - Content - Platform - Performance, SEO, CRM &amp; Loyalty - 04/2026"/>
    <x v="0"/>
    <x v="0"/>
    <n v="593400"/>
    <s v="BRL"/>
    <n v="345148.56"/>
    <s v="BRL"/>
    <s v="Content - Platform - Performance, SEO, CRM &amp; Loyalty"/>
    <d v="2026-04-30T00:00:00"/>
    <d v="2025-10-10T00:00:00"/>
    <s v="Inbound - Current Client (DEPRECATED)"/>
    <s v="São Carlos, BR"/>
    <s v="127"/>
    <s v="12"/>
    <x v="0"/>
  </r>
  <r>
    <x v="25"/>
    <s v="ACC-1017"/>
    <s v="Quince Travel"/>
    <s v="Pedro Martins"/>
    <s v="Quince Travel - Content - Platform - Performance, SEO, CRM &amp; Loyalty - 04/2026"/>
    <x v="3"/>
    <x v="0"/>
    <n v="2510326.92"/>
    <s v="BRL"/>
    <n v="236040.72"/>
    <s v="BRL"/>
    <s v="Content - Platform - Performance, SEO, CRM &amp; Loyalty"/>
    <d v="2026-04-30T00:00:00"/>
    <d v="2026-06-03T00:00:00"/>
    <s v="Inbound - Current Client (DEPRECATED)"/>
    <s v="São Carlos, BR"/>
    <s v="39"/>
    <s v="12"/>
    <x v="0"/>
  </r>
  <r>
    <x v="25"/>
    <s v="ACC-1017"/>
    <s v="Quince Travel"/>
    <s v="Pedro Martins"/>
    <s v="Quince Travel - Content - Platform - Performance, SEO, CRM &amp; Loyalty - 04/2026"/>
    <x v="3"/>
    <x v="0"/>
    <n v="2510326.92"/>
    <s v="BRL"/>
    <n v="450126.12"/>
    <s v="BRL"/>
    <s v="Content - Platform - Performance, SEO, CRM &amp; Loyalty"/>
    <d v="2026-04-30T00:00:00"/>
    <d v="2026-06-03T00:00:00"/>
    <s v="Inbound - Current Client (DEPRECATED)"/>
    <s v="São Carlos, BR"/>
    <s v="39"/>
    <s v="12"/>
    <x v="0"/>
  </r>
  <r>
    <x v="26"/>
    <s v="ACC-1100"/>
    <s v="Ramson Gaming"/>
    <s v="Felipe Lima"/>
    <s v="Ramson Gaming - Content - Platform - Performance, SEO, CRM &amp; Loyalty - 06/2026"/>
    <x v="1"/>
    <x v="1"/>
    <n v="645420"/>
    <s v="BRL"/>
    <n v="645420"/>
    <s v="BRL"/>
    <s v="Content - Platform - Performance, SEO, CRM &amp; Loyalty"/>
    <d v="2026-01-06T00:00:00"/>
    <d v="2025-10-27T00:00:00"/>
    <s v="Referral - Internal"/>
    <s v="São Carlos, BR"/>
    <s v="148"/>
    <s v="12"/>
    <x v="2"/>
  </r>
  <r>
    <x v="27"/>
    <s v="ACC-1063"/>
    <s v="Saffron Fashion"/>
    <s v="Ana Silva"/>
    <s v="Saffron Fashion - DDM - Data - Services &amp; Tech - Services (Analytics &amp; Support) - 01/2026"/>
    <x v="0"/>
    <x v="3"/>
    <n v="2316291.86"/>
    <s v="BRL"/>
    <n v="2316291.86"/>
    <s v="BRL"/>
    <s v="Content - Platform - Performance, SEO, CRM &amp; Loyalty"/>
    <d v="2026-05-31T00:00:00"/>
    <d v="2026-03-19T00:00:00"/>
    <s v="Inbound - Current Client (DEPRECATED)"/>
    <s v="São Carlos, BR"/>
    <s v="5"/>
    <s v="12"/>
    <x v="0"/>
  </r>
  <r>
    <x v="28"/>
    <s v="ACC-1063"/>
    <s v="Saffron Fashion"/>
    <s v="Ana Silva"/>
    <s v="Saffron Fashion - DDM - Media - Creative - 01/2026"/>
    <x v="0"/>
    <x v="2"/>
    <n v="1157087.3999999999"/>
    <s v="BRL"/>
    <n v="926822.40000000002"/>
    <s v="BRL"/>
    <s v="Content - Platform - Performance, SEO, CRM &amp; Loyalty"/>
    <d v="2026-05-01T00:00:00"/>
    <d v="2025-09-25T00:00:00"/>
    <s v="Inbound - Current Client (DEPRECATED)"/>
    <s v="São Carlos, BR"/>
    <s v="99"/>
    <s v="12"/>
    <x v="0"/>
  </r>
  <r>
    <x v="29"/>
    <s v="ACC-1063"/>
    <s v="Saffron Fashion"/>
    <s v="Ana Silva"/>
    <s v="Saffron Fashion - DDM - Media - Managed Media (AOR) - 01/2026"/>
    <x v="3"/>
    <x v="2"/>
    <n v="6770269.9100000001"/>
    <s v="BRL"/>
    <n v="455478.43"/>
    <s v="BRL"/>
    <s v="Content - Platform - Performance, SEO, CRM &amp; Loyalty"/>
    <d v="2026-01-27T00:00:00"/>
    <d v="2025-12-15T00:00:00"/>
    <s v="Inbound - Current Client (DEPRECATED)"/>
    <s v="São Carlos, BR"/>
    <s v="77"/>
    <s v="12"/>
    <x v="0"/>
  </r>
  <r>
    <x v="30"/>
    <s v="ACC-1105"/>
    <s v="Velvet Cosmetics"/>
    <s v="Felipe Lima"/>
    <s v="Velvet Cosmetics - Content - Platform - Performance, SEO, CRM &amp; Loyalty - 06/2026"/>
    <x v="1"/>
    <x v="1"/>
    <n v="520000"/>
    <s v="BRL"/>
    <n v="520000"/>
    <s v="BRL"/>
    <s v="Content - Platform - Performance, SEO, CRM &amp; Loyalty"/>
    <d v="2026-01-06T00:00:00"/>
    <d v="2026-12-01T00:00:00"/>
    <s v="Don't Know/Other (DEPRECATED)"/>
    <s v="São Carlos, BR"/>
    <s v="64"/>
    <s v="2"/>
    <x v="1"/>
  </r>
  <r>
    <x v="31"/>
    <s v="ACC-1021"/>
    <s v="Violet Agriculture"/>
    <s v="Carla Mendes"/>
    <s v="Violet Agriculture - DDM - Media - Activation - Platforms Reselling - 03/2026"/>
    <x v="0"/>
    <x v="1"/>
    <n v="97858.559999999998"/>
    <s v="BRL"/>
    <n v="97858.559999999998"/>
    <s v="BRL"/>
    <s v="Content - Platform - Performance, SEO, CRM &amp; Loyalty"/>
    <d v="2026-05-31T00:00:00"/>
    <d v="2026-04-02T00:00:00"/>
    <s v="Inbound - Current Client (DEPRECATED)"/>
    <s v="São Carlos, BR"/>
    <s v="32"/>
    <s v="12"/>
    <x v="0"/>
  </r>
  <r>
    <x v="32"/>
    <s v="ACC-1111"/>
    <s v="Walnut Manufacturing"/>
    <s v="Wanda Borges"/>
    <s v="Walnut Manufacturing - Content - Platform - Performance, SEO, CRM &amp; Loyalty - 05/2026"/>
    <x v="2"/>
    <x v="1"/>
    <n v="2133050.04"/>
    <s v="BRL"/>
    <n v="853158.72"/>
    <s v="BRL"/>
    <s v="Content - Platform - Performance, SEO, CRM &amp; Loyalty"/>
    <d v="2026-05-29T00:00:00"/>
    <d v="2026-03-03T00:00:00"/>
    <s v="Inbound - Website - Media.Monks (DEPRECATED)"/>
    <s v="Votorantim, BR"/>
    <s v="15"/>
    <s v="12"/>
    <x v="3"/>
  </r>
  <r>
    <x v="33"/>
    <s v="ACC-1006"/>
    <s v="Willow Beauty"/>
    <s v="Bruno Costa"/>
    <s v="Willow Beauty - DDM - Commerce - Content - 04/2026"/>
    <x v="1"/>
    <x v="4"/>
    <n v="88000"/>
    <s v="BRL"/>
    <n v="88000"/>
    <s v="BRL"/>
    <s v="Content - Platform - Performance, SEO, CRM &amp; Loyalty"/>
    <d v="2026-01-06T00:00:00"/>
    <d v="2026-11-03T00:00:00"/>
    <s v="Referral - S4 Company"/>
    <s v="São Carlos, BR"/>
    <s v="29"/>
    <s v="2"/>
    <x v="2"/>
  </r>
  <r>
    <x v="34"/>
    <s v="ACC-1091"/>
    <s v="Wren Chemicals"/>
    <s v="Karina Oliveira"/>
    <s v="Wren Chemicals - Content - Platform - Performance, SEO, CRM &amp; Loyalty - 06/2026"/>
    <x v="3"/>
    <x v="0"/>
    <n v="1993383.1199999999"/>
    <s v="BRL"/>
    <n v="320220.59999999998"/>
    <s v="BRL"/>
    <s v="Content - Platform - Performance, SEO, CRM &amp; Loyalty"/>
    <d v="2026-02-06T00:00:00"/>
    <d v="2026-09-03T00:00:00"/>
    <s v="Inbound - Current Client (DEPRECATED)"/>
    <s v="São Carlos, BR"/>
    <s v="15"/>
    <s v="12"/>
    <x v="0"/>
  </r>
  <r>
    <x v="35"/>
    <s v="ACC-1043"/>
    <s v="Xanadu Media"/>
    <s v="Bernardo Castro"/>
    <s v="Xanadu Media - DDM - Commerce - Content - 06/2026"/>
    <x v="0"/>
    <x v="1"/>
    <n v="838800"/>
    <s v="BRL"/>
    <n v="248400"/>
    <s v="BRL"/>
    <s v="Content - Platform - Performance, SEO, CRM &amp; Loyalty"/>
    <d v="2026-06-30T00:00:00"/>
    <d v="2026-03-30T00:00:00"/>
    <s v="Prospecting - Current Client (DEPRECATED)"/>
    <s v="Votorantim, BR"/>
    <s v="5"/>
    <s v="12"/>
    <x v="0"/>
  </r>
  <r>
    <x v="36"/>
    <s v="ACC-1081"/>
    <s v="Yarrow Health"/>
    <s v="Amanda Rios"/>
    <s v="Yarrow Health - Content - Platform - Performance, SEO, CRM &amp; Loyalty - 06/2026"/>
    <x v="3"/>
    <x v="4"/>
    <n v="695284.8"/>
    <s v="BRL"/>
    <n v="170638.2"/>
    <s v="BRL"/>
    <s v="Content - Platform - Performance, SEO, CRM &amp; Loyalty"/>
    <d v="2026-06-30T00:00:00"/>
    <d v="2026-10-04T00:00:00"/>
    <s v="Existing Client - Account/Growth Activity"/>
    <s v="São Carlos, BR"/>
    <s v="4"/>
    <s v="12"/>
    <x v="0"/>
  </r>
  <r>
    <x v="37"/>
    <s v="ACC-1085"/>
    <s v="Yumberry Mobile"/>
    <s v="Felipe Lima"/>
    <s v="Yumberry Mobile - Content - Platform - Performance, SEO, CRM &amp; Loyalty - 05/2026"/>
    <x v="2"/>
    <x v="3"/>
    <n v="835250.32000000007"/>
    <s v="BRL"/>
    <n v="150756"/>
    <s v="BRL"/>
    <s v="Content - Platform - Performance, SEO, CRM &amp; Loyalty"/>
    <d v="2026-05-13T00:00:00"/>
    <d v="2026-11-03T00:00:00"/>
    <s v="Referral - Internal"/>
    <s v="São Carlos, BR"/>
    <s v="25"/>
    <s v="12"/>
    <x v="2"/>
  </r>
  <r>
    <x v="38"/>
    <s v="ACC-1029"/>
    <s v="Zephyr Telecom"/>
    <s v="Ana Silva"/>
    <s v="Zephyr Telecom - DDM - Data - Services &amp; Tech - Services (Analytics &amp; Support) - 03/2026"/>
    <x v="3"/>
    <x v="2"/>
    <n v="4260383.32"/>
    <s v="BRL"/>
    <n v="964773.66"/>
    <s v="BRL"/>
    <s v="Content - Platform - Performance, SEO, CRM &amp; Loyalty"/>
    <d v="2026-09-03T00:00:00"/>
    <d v="2025-11-14T00:00:00"/>
    <s v="Inbound - Current Client (DEPRECATED)"/>
    <s v="São Carlos, BR"/>
    <s v="36"/>
    <s v="12"/>
    <x v="0"/>
  </r>
  <r>
    <x v="39"/>
    <s v="ACC-1029"/>
    <s v="Zephyr Telecom"/>
    <s v="Ana Silva"/>
    <s v="Zephyr Telecom - Content - Social - Project - 02/2026"/>
    <x v="3"/>
    <x v="2"/>
    <n v="3785206.2099999995"/>
    <s v="BRL"/>
    <n v="249048.07"/>
    <s v="BRL"/>
    <s v="Content - Platform - Performance, SEO, CRM &amp; Loyalty"/>
    <d v="2026-02-13T00:00:00"/>
    <d v="2025-11-14T00:00:00"/>
    <s v="Inbound - Current Client (DEPRECATED)"/>
    <s v="São Carlos, BR"/>
    <s v="60"/>
    <s v="12"/>
    <x v="0"/>
  </r>
  <r>
    <x v="40"/>
    <s v="ACC-1029"/>
    <s v="Zephyr Telecom"/>
    <s v="Ana Silva"/>
    <s v="Zephyr Telecom - Content - Platform - Performance, SEO, CRM &amp; Loyalty - 02/2026"/>
    <x v="0"/>
    <x v="0"/>
    <n v="1555491.6"/>
    <s v="BRL"/>
    <n v="1555491.6"/>
    <s v="BRL"/>
    <s v="Content - Platform - Performance, SEO, CRM &amp; Loyalty"/>
    <d v="2026-06-30T00:00:00"/>
    <d v="2026-06-04T00:00:00"/>
    <s v="Existing Client - Account/Growth Activity"/>
    <s v="São Carlos, BR"/>
    <s v="1"/>
    <s v="12"/>
    <x v="0"/>
  </r>
  <r>
    <x v="41"/>
    <s v="ACC-1029"/>
    <s v="Zephyr Telecom"/>
    <s v="Ana Silva"/>
    <s v="Zephyr Telecom - DDM - Media - Managed Media (AOR) - 03/2026"/>
    <x v="0"/>
    <x v="2"/>
    <n v="297244.79999999999"/>
    <s v="BRL"/>
    <n v="297244.79999999999"/>
    <s v="BRL"/>
    <s v="Content - Platform - Performance, SEO, CRM &amp; Loyalty"/>
    <d v="2026-03-24T00:00:00"/>
    <d v="2026-01-15T00:00:00"/>
    <s v="Inbound - Current Client (DEPRECATED)"/>
    <s v="São Carlos, BR"/>
    <s v="21"/>
    <s v="12"/>
    <x v="0"/>
  </r>
  <r>
    <x v="4"/>
    <s v="ACC-1112"/>
    <s v="Company 111"/>
    <s v="Xavier Correia"/>
    <s v="Company 111 - Content - Platform - Service &amp; Maintenance - 02/2026"/>
    <x v="2"/>
    <x v="2"/>
    <n v="4293965.2399999993"/>
    <s v="BRL"/>
    <n v="375767.72"/>
    <s v="BRL"/>
    <s v="Content - Platform - Service &amp; Maintenance"/>
    <d v="2026-02-27T00:00:00"/>
    <d v="2026-01-20T00:00:00"/>
    <s v="Referral - S4 Company"/>
    <s v="São Carlos, BR"/>
    <s v="46"/>
    <s v="12"/>
    <x v="2"/>
  </r>
  <r>
    <x v="11"/>
    <s v="ACC-1022"/>
    <s v="Ember Hospitality"/>
    <s v="Sofia Guimaraes"/>
    <s v="Ember Hospitality - Content - Platform - Service &amp; Maintenance - 04/2026"/>
    <x v="0"/>
    <x v="2"/>
    <n v="1653085.7999999998"/>
    <s v="BRL"/>
    <n v="561203.64"/>
    <s v="BRL"/>
    <s v="Content - Platform - Service &amp; Maintenance"/>
    <d v="2026-04-13T00:00:00"/>
    <d v="2025-10-24T00:00:00"/>
    <s v="Inbound - Current Client (DEPRECATED)"/>
    <s v="São Carlos, BR"/>
    <s v="1"/>
    <s v="10"/>
    <x v="0"/>
  </r>
  <r>
    <x v="25"/>
    <s v="ACC-1017"/>
    <s v="Quince Travel"/>
    <s v="Pedro Martins"/>
    <s v="Quince Travel - Content - Platform - Service &amp; Maintenance - 04/2026"/>
    <x v="3"/>
    <x v="0"/>
    <n v="2510326.92"/>
    <s v="BRL"/>
    <n v="340710.12"/>
    <s v="BRL"/>
    <s v="Content - Platform - Service &amp; Maintenance"/>
    <d v="2026-04-30T00:00:00"/>
    <d v="2026-06-03T00:00:00"/>
    <s v="Inbound - Current Client (DEPRECATED)"/>
    <s v="São Carlos, BR"/>
    <s v="39"/>
    <s v="12"/>
    <x v="0"/>
  </r>
  <r>
    <x v="42"/>
    <s v="ACC-1122"/>
    <s v="Company 121"/>
    <s v="Joao Pereira"/>
    <s v="Company 121 - DDM - Media - Managed Media (AOR) - 05/2026"/>
    <x v="2"/>
    <x v="1"/>
    <n v="260468.47999999998"/>
    <s v="BRL"/>
    <n v="128427.48"/>
    <s v="BRL"/>
    <s v="Content - Platform - Website Creation &amp; Production"/>
    <d v="2026-04-05T00:00:00"/>
    <d v="2026-03-23T00:00:00"/>
    <s v="Referral - Internal"/>
    <s v="São Carlos, BR"/>
    <s v="18"/>
    <s v="12"/>
    <x v="2"/>
  </r>
  <r>
    <x v="42"/>
    <s v="ACC-1122"/>
    <s v="Company 121"/>
    <s v="Joao Pereira"/>
    <s v="Company 121 - DDM - Data - Services &amp; Tech - Services (Analytics &amp; Support) - 05/2026"/>
    <x v="2"/>
    <x v="1"/>
    <n v="260468.47999999998"/>
    <s v="BRL"/>
    <n v="132041"/>
    <s v="BRL"/>
    <s v="Content - Platform - Website Creation &amp; Production"/>
    <d v="2026-04-05T00:00:00"/>
    <d v="2026-03-23T00:00:00"/>
    <s v="Referral - Internal"/>
    <s v="São Carlos, BR"/>
    <s v="18"/>
    <s v="12"/>
    <x v="2"/>
  </r>
  <r>
    <x v="43"/>
    <s v="ACC-1098"/>
    <s v="Delta Streaming"/>
    <s v="Karina Oliveira"/>
    <s v="Delta Streaming - Content - Platform - Website Creation &amp; Production - 04/2026"/>
    <x v="0"/>
    <x v="1"/>
    <n v="322882"/>
    <s v="BRL"/>
    <n v="322882"/>
    <s v="BRL"/>
    <s v="Content - Platform - Website Creation &amp; Production"/>
    <d v="2026-04-27T00:00:00"/>
    <d v="2026-02-03T00:00:00"/>
    <s v="Inbound - Current Client (DEPRECATED)"/>
    <s v="São Carlos, BR"/>
    <s v="36"/>
    <s v="5"/>
    <x v="0"/>
  </r>
  <r>
    <x v="7"/>
    <s v="ACC-1050"/>
    <s v="Dune Ecommerce"/>
    <s v="Queila Ribeiro"/>
    <s v="Dune Ecommerce - Content - Platform - Website Creation &amp; Production - 03/2026"/>
    <x v="0"/>
    <x v="2"/>
    <n v="1818447"/>
    <s v="BRL"/>
    <n v="1472367.11"/>
    <s v="BRL"/>
    <s v="Content - Platform - Website Creation &amp; Production"/>
    <d v="2026-03-24T00:00:00"/>
    <d v="2025-12-15T00:00:00"/>
    <s v="Inbound - Current Client (DEPRECATED)"/>
    <s v="São Carlos, BR"/>
    <s v="21"/>
    <s v="8"/>
    <x v="0"/>
  </r>
  <r>
    <x v="9"/>
    <s v="ACC-1050"/>
    <s v="Dune Ecommerce"/>
    <s v="Queila Ribeiro"/>
    <s v="Dune Ecommerce - Content - Platform - Performance, SEO, CRM &amp; Loyalty - 04/2026"/>
    <x v="0"/>
    <x v="3"/>
    <n v="296000"/>
    <s v="BRL"/>
    <n v="110000"/>
    <s v="BRL"/>
    <s v="Content - Platform - Website Creation &amp; Production"/>
    <d v="2026-05-31T00:00:00"/>
    <d v="2026-03-14T00:00:00"/>
    <s v="Inbound - Current Client (DEPRECATED)"/>
    <s v="São Carlos, BR"/>
    <s v="13"/>
    <s v="6"/>
    <x v="0"/>
  </r>
  <r>
    <x v="44"/>
    <s v="ACC-1050"/>
    <s v="Dune Ecommerce"/>
    <s v="Queila Ribeiro"/>
    <s v="Dune Ecommerce - Content - Platform - Performance, SEO, CRM &amp; Loyalty - 05/2026"/>
    <x v="0"/>
    <x v="2"/>
    <n v="108985.08"/>
    <s v="BRL"/>
    <n v="108985.08"/>
    <s v="BRL"/>
    <s v="Content - Platform - Website Creation &amp; Production"/>
    <d v="2026-03-24T00:00:00"/>
    <d v="2025-12-19T00:00:00"/>
    <s v="Inbound - Current Client (DEPRECATED)"/>
    <s v="São Carlos, BR"/>
    <s v="21"/>
    <s v="2"/>
    <x v="0"/>
  </r>
  <r>
    <x v="45"/>
    <s v="ACC-1050"/>
    <s v="Dune Ecommerce"/>
    <s v="Queila Ribeiro"/>
    <s v="Dune Ecommerce - DDM - Data - Services &amp; Tech - Services (Analytics &amp; Support) - 05/2026"/>
    <x v="0"/>
    <x v="1"/>
    <n v="50000"/>
    <s v="BRL"/>
    <n v="50000"/>
    <s v="BRL"/>
    <s v="Content - Platform - Website Creation &amp; Production"/>
    <d v="2026-05-31T00:00:00"/>
    <d v="2026-02-03T00:00:00"/>
    <s v="Inbound - Current Client (DEPRECATED)"/>
    <s v="São Carlos, BR"/>
    <s v="31"/>
    <s v="1"/>
    <x v="0"/>
  </r>
  <r>
    <x v="46"/>
    <s v="ACC-1075"/>
    <s v="Kestrel Logistics"/>
    <s v="Bernardo Castro"/>
    <s v="Kestrel Logistics - Content - Platform - Website Creation &amp; Production - 02/2026"/>
    <x v="3"/>
    <x v="2"/>
    <n v="940468.92"/>
    <s v="BRL"/>
    <n v="940468.92"/>
    <s v="BRL"/>
    <s v="Content - Platform - Website Creation &amp; Production"/>
    <d v="2026-02-13T00:00:00"/>
    <d v="2025-08-12T00:00:00"/>
    <s v="Inbound - Current Client (DEPRECATED)"/>
    <s v="São Carlos, BR"/>
    <s v="60"/>
    <s v="12"/>
    <x v="0"/>
  </r>
  <r>
    <x v="47"/>
    <s v="ACC-1075"/>
    <s v="Kestrel Logistics"/>
    <s v="Bernardo Castro"/>
    <s v="Kestrel Logistics - Content - Platform - Website Creation &amp; Production - 04/2026"/>
    <x v="0"/>
    <x v="1"/>
    <n v="571781.5"/>
    <s v="BRL"/>
    <n v="571781.5"/>
    <s v="BRL"/>
    <s v="Content - Platform - Website Creation &amp; Production"/>
    <d v="2026-09-05T00:00:00"/>
    <d v="2026-09-04T00:00:00"/>
    <s v="Existing Client - Account/Growth Activity"/>
    <s v="São Carlos, BR"/>
    <s v="4"/>
    <s v="4"/>
    <x v="0"/>
  </r>
  <r>
    <x v="48"/>
    <s v="ACC-1075"/>
    <s v="Kestrel Logistics"/>
    <s v="Bernardo Castro"/>
    <s v="Kestrel Logistics - Content - Platform - Website Creation &amp; Production - 05/2026"/>
    <x v="0"/>
    <x v="0"/>
    <n v="420"/>
    <s v="BRL"/>
    <n v="420"/>
    <s v="BRL"/>
    <s v="Content - Platform - Website Creation &amp; Production"/>
    <d v="2026-04-30T00:00:00"/>
    <d v="2026-02-26T00:00:00"/>
    <s v="Inbound - Current Client (DEPRECATED)"/>
    <s v="São Carlos, BR"/>
    <s v="47"/>
    <s v="1"/>
    <x v="0"/>
  </r>
  <r>
    <x v="49"/>
    <s v="ACC-1065"/>
    <s v="Larkspur Foods"/>
    <s v="Joao Pereira"/>
    <s v="Larkspur Foods - Content - Platform - Website Creation &amp; Production - 05/2026"/>
    <x v="2"/>
    <x v="1"/>
    <n v="265000"/>
    <s v="BRL"/>
    <n v="57000"/>
    <s v="BRL"/>
    <s v="Content - Platform - Website Creation &amp; Production"/>
    <d v="2026-04-05T00:00:00"/>
    <d v="2026-03-03T00:00:00"/>
    <s v="Referral - Personal"/>
    <s v="São Carlos, BR"/>
    <s v="19"/>
    <s v="12"/>
    <x v="2"/>
  </r>
  <r>
    <x v="19"/>
    <s v="ACC-1066"/>
    <s v="Magnolia Retail"/>
    <s v="Carla Mendes"/>
    <s v="Magnolia Retail - Content - Platform - Website Creation &amp; Production - 05/2026"/>
    <x v="0"/>
    <x v="1"/>
    <n v="795900.24"/>
    <s v="BRL"/>
    <n v="585047.43999999994"/>
    <s v="BRL"/>
    <s v="Content - Platform - Website Creation &amp; Production"/>
    <d v="2026-05-31T00:00:00"/>
    <d v="2026-04-02T00:00:00"/>
    <s v="Inbound - Current Client (DEPRECATED)"/>
    <s v="São Carlos, BR"/>
    <s v="69"/>
    <s v="3"/>
    <x v="0"/>
  </r>
  <r>
    <x v="50"/>
    <s v="ACC-1031"/>
    <s v="Nova Studios"/>
    <s v="Queila Ribeiro"/>
    <s v="Nova Studios - DDM - Media - Creative - 02/2026"/>
    <x v="0"/>
    <x v="2"/>
    <n v="490928.88"/>
    <s v="BRL"/>
    <n v="490928.88"/>
    <s v="BRL"/>
    <s v="Content - Platform - Website Creation &amp; Production"/>
    <d v="2026-09-01T00:00:00"/>
    <d v="2025-08-21T00:00:00"/>
    <s v="Inbound - Current Client (DEPRECATED)"/>
    <s v="São Carlos, BR"/>
    <s v="95"/>
    <s v="12"/>
    <x v="0"/>
  </r>
  <r>
    <x v="51"/>
    <s v="ACC-1083"/>
    <s v="Umber Design"/>
    <s v="Xavier Correia"/>
    <s v="Umber Design - Content - Platform - Website Creation &amp; Production - 05/2026"/>
    <x v="1"/>
    <x v="1"/>
    <n v="500000"/>
    <s v="BRL"/>
    <n v="500000"/>
    <s v="BRL"/>
    <s v="Content - Platform - Website Creation &amp; Production"/>
    <d v="2026-05-31T00:00:00"/>
    <d v="2026-03-23T00:00:00"/>
    <s v="Marketing - Lead Scoring/Nurturing"/>
    <s v="São Carlos, BR"/>
    <s v="13"/>
    <s v="12"/>
    <x v="1"/>
  </r>
  <r>
    <x v="34"/>
    <s v="ACC-1091"/>
    <s v="Wren Chemicals"/>
    <s v="Karina Oliveira"/>
    <s v="Wren Chemicals - Content - Platform - Website Creation &amp; Production - 06/2026"/>
    <x v="3"/>
    <x v="0"/>
    <n v="1993383.1199999999"/>
    <s v="BRL"/>
    <n v="401829.72"/>
    <s v="BRL"/>
    <s v="Content - Platform - Website Creation &amp; Production"/>
    <d v="2026-02-06T00:00:00"/>
    <d v="2026-09-03T00:00:00"/>
    <s v="Inbound - Current Client (DEPRECATED)"/>
    <s v="São Carlos, BR"/>
    <s v="15"/>
    <s v="12"/>
    <x v="0"/>
  </r>
  <r>
    <x v="35"/>
    <s v="ACC-1043"/>
    <s v="Xanadu Media"/>
    <s v="Bernardo Castro"/>
    <s v="Xanadu Media - Content - Platform - Performance, SEO, CRM &amp; Loyalty - 06/2026"/>
    <x v="0"/>
    <x v="1"/>
    <n v="838800"/>
    <s v="BRL"/>
    <n v="144000"/>
    <s v="BRL"/>
    <s v="Content - Platform - Website Creation &amp; Production"/>
    <d v="2026-06-30T00:00:00"/>
    <d v="2026-03-30T00:00:00"/>
    <s v="Prospecting - Current Client (DEPRECATED)"/>
    <s v="Votorantim, BR"/>
    <s v="5"/>
    <s v="12"/>
    <x v="0"/>
  </r>
  <r>
    <x v="52"/>
    <s v="ACC-1037"/>
    <s v="Acacia Telecom"/>
    <s v="Bruno Costa"/>
    <s v="Acacia Telecom - Content - Platform - Performance, SEO, CRM &amp; Loyalty - 04/2026"/>
    <x v="0"/>
    <x v="2"/>
    <n v="30051.61"/>
    <s v="BRL"/>
    <n v="30051.61"/>
    <s v="BRL"/>
    <s v="Content - Social - AOR"/>
    <d v="2026-03-26T00:00:00"/>
    <d v="2026-01-15T00:00:00"/>
    <s v="Inbound - Current Client (DEPRECATED)"/>
    <s v="São Carlos, BR"/>
    <s v="19"/>
    <s v="1"/>
    <x v="0"/>
  </r>
  <r>
    <x v="53"/>
    <s v="ACC-1078"/>
    <s v="Aurora Retail"/>
    <s v="Amanda Rios"/>
    <s v="Aurora Retail - Content - Social - AOR - 05/2026"/>
    <x v="0"/>
    <x v="1"/>
    <n v="800000"/>
    <s v="BRL"/>
    <n v="800000"/>
    <s v="BRL"/>
    <s v="Content - Social - AOR"/>
    <d v="2026-05-31T00:00:00"/>
    <d v="2026-12-02T00:00:00"/>
    <s v="Inbound - Current Client (DEPRECATED)"/>
    <s v="Votorantim, BR"/>
    <s v="12"/>
    <s v="12"/>
    <x v="0"/>
  </r>
  <r>
    <x v="54"/>
    <s v="ACC-1109"/>
    <s v="Bluefin Logistics"/>
    <s v="Lucas Almeida"/>
    <s v="Bluefin Logistics - Content - Social - AOR - 06/2026"/>
    <x v="4"/>
    <x v="1"/>
    <n v="36000"/>
    <s v="BRL"/>
    <n v="12000"/>
    <s v="BRL"/>
    <s v="Content - Social - AOR"/>
    <d v="2026-06-29T00:00:00"/>
    <d v="2025-10-20T00:00:00"/>
    <s v="Inbound - Website - Media.Monks (DEPRECATED)"/>
    <s v="São Carlos, BR"/>
    <s v="76"/>
    <s v="12"/>
    <x v="3"/>
  </r>
  <r>
    <x v="3"/>
    <s v="ACC-1062"/>
    <s v="Cedar Foods"/>
    <s v="Daniel Moura"/>
    <s v="Cedar Foods - Content - Social - AOR - 06/2026"/>
    <x v="0"/>
    <x v="1"/>
    <n v="4565828.57"/>
    <s v="BRL"/>
    <n v="578334.1"/>
    <s v="BRL"/>
    <s v="Content - Social - AOR"/>
    <d v="2026-06-30T00:00:00"/>
    <d v="2026-01-26T00:00:00"/>
    <s v="Inbound - Current Client (DEPRECATED)"/>
    <s v="Votorantim, BR"/>
    <s v="33"/>
    <s v="12"/>
    <x v="0"/>
  </r>
  <r>
    <x v="55"/>
    <s v="ACC-1107"/>
    <s v="Cobalt SaaS"/>
    <s v="Xavier Correia"/>
    <s v="Cobalt SaaS - Content - Social - AOR - 01/2026"/>
    <x v="1"/>
    <x v="2"/>
    <n v="90000"/>
    <s v="BRL"/>
    <n v="90000"/>
    <s v="BRL"/>
    <s v="Content - Social - AOR"/>
    <d v="2026-01-27T00:00:00"/>
    <d v="2026-01-26T00:00:00"/>
    <s v="Inbound - Current Client (DEPRECATED)"/>
    <s v="Votorantim, BR"/>
    <s v="77"/>
    <s v="6"/>
    <x v="0"/>
  </r>
  <r>
    <x v="56"/>
    <s v="ACC-1128"/>
    <s v="Company 127"/>
    <s v="Felipe Lima"/>
    <s v="Company 127 - Content - Social - AOR - 05/2026"/>
    <x v="2"/>
    <x v="5"/>
    <n v="0"/>
    <s v="BRL"/>
    <n v="0"/>
    <s v="BRL"/>
    <s v="Content - Social - AOR"/>
    <d v="2026-05-13T00:00:00"/>
    <d v="2026-04-13T00:00:00"/>
    <s v="Referral - Internal"/>
    <s v="São Carlos, BR"/>
    <s v="1"/>
    <m/>
    <x v="2"/>
  </r>
  <r>
    <x v="57"/>
    <s v="ACC-1049"/>
    <s v="Hazel Construction"/>
    <s v="Bernardo Castro"/>
    <s v="Hazel Construction - DDM - Media - Creative - 02/2026"/>
    <x v="3"/>
    <x v="2"/>
    <n v="1546078.56"/>
    <s v="BRL"/>
    <n v="1229366.3999999999"/>
    <s v="BRL"/>
    <s v="Content - Social - AOR"/>
    <d v="2026-12-03T00:00:00"/>
    <d v="2025-08-12T00:00:00"/>
    <s v="Inbound - Current Client (DEPRECATED)"/>
    <s v="São Carlos, BR"/>
    <s v="33"/>
    <s v="12"/>
    <x v="0"/>
  </r>
  <r>
    <x v="58"/>
    <s v="ACC-1049"/>
    <s v="Hazel Construction"/>
    <s v="Bernardo Castro"/>
    <s v="Hazel Construction - DDM - Media - Managed Media (AOR) - 02/2026"/>
    <x v="0"/>
    <x v="2"/>
    <n v="604944.24"/>
    <s v="BRL"/>
    <n v="307704.36"/>
    <s v="BRL"/>
    <s v="Content - Social - AOR"/>
    <d v="2026-02-25T00:00:00"/>
    <d v="2025-11-17T00:00:00"/>
    <s v="Inbound - Current Client (DEPRECATED)"/>
    <s v="São Carlos, BR"/>
    <s v="48"/>
    <s v="12"/>
    <x v="0"/>
  </r>
  <r>
    <x v="59"/>
    <s v="ACC-1049"/>
    <s v="Hazel Construction"/>
    <s v="Bernardo Castro"/>
    <s v="Hazel Construction - Content - Social - AOR - 03/2026"/>
    <x v="0"/>
    <x v="2"/>
    <n v="58838.400000000001"/>
    <s v="BRL"/>
    <n v="58838.400000000001"/>
    <s v="BRL"/>
    <s v="Content - Social - AOR"/>
    <d v="2026-03-26T00:00:00"/>
    <d v="2026-04-02T00:00:00"/>
    <s v="Inbound - Current Client (DEPRECATED)"/>
    <s v="São Carlos, BR"/>
    <s v="19"/>
    <s v="12"/>
    <x v="0"/>
  </r>
  <r>
    <x v="60"/>
    <s v="ACC-1049"/>
    <s v="Hazel Construction"/>
    <s v="Bernardo Castro"/>
    <s v="Hazel Construction - Content - Social - AOR - 03/2026"/>
    <x v="0"/>
    <x v="3"/>
    <n v="54000"/>
    <s v="BRL"/>
    <n v="54000"/>
    <s v="BRL"/>
    <s v="Content - Social - AOR"/>
    <d v="2026-05-31T00:00:00"/>
    <d v="2026-03-30T00:00:00"/>
    <s v="Inbound - Current Client (DEPRECATED)"/>
    <s v="São Carlos, BR"/>
    <s v="15"/>
    <s v="3"/>
    <x v="0"/>
  </r>
  <r>
    <x v="61"/>
    <s v="ACC-1049"/>
    <s v="Hazel Construction"/>
    <s v="Bernardo Castro"/>
    <s v="Hazel Construction - Content - Social - AOR - 03/2026"/>
    <x v="0"/>
    <x v="2"/>
    <n v="29205.38"/>
    <s v="BRL"/>
    <n v="29205.38"/>
    <s v="BRL"/>
    <s v="Content - Social - AOR"/>
    <d v="2026-12-03T00:00:00"/>
    <d v="2026-01-29T00:00:00"/>
    <s v="Inbound - Current Client (DEPRECATED)"/>
    <s v="São Carlos, BR"/>
    <s v="33"/>
    <s v="1"/>
    <x v="0"/>
  </r>
  <r>
    <x v="62"/>
    <s v="ACC-1049"/>
    <s v="Hazel Construction"/>
    <s v="Bernardo Castro"/>
    <s v="Hazel Construction - DDM - Media - Managed Media (AOR) - 04/2026"/>
    <x v="0"/>
    <x v="2"/>
    <n v="21044.400000000001"/>
    <s v="BRL"/>
    <n v="21044.400000000001"/>
    <s v="BRL"/>
    <s v="Content - Social - AOR"/>
    <d v="2026-01-22T00:00:00"/>
    <d v="2025-10-30T00:00:00"/>
    <s v="Inbound - Current Client (DEPRECATED)"/>
    <s v="São Carlos, BR"/>
    <s v="82"/>
    <s v="1"/>
    <x v="0"/>
  </r>
  <r>
    <x v="63"/>
    <s v="ACC-1069"/>
    <s v="Honeysuckle Travel"/>
    <s v="Bruno Costa"/>
    <s v="Honeysuckle Travel - Content - Social - AOR - 05/2026"/>
    <x v="0"/>
    <x v="4"/>
    <n v="120000"/>
    <s v="BRL"/>
    <n v="120000"/>
    <s v="BRL"/>
    <s v="Content - Social - AOR"/>
    <d v="2026-05-31T00:00:00"/>
    <d v="2026-02-04T00:00:00"/>
    <s v="Inbound - Current Client (DEPRECATED)"/>
    <s v="São Carlos, BR"/>
    <s v="12"/>
    <s v="6"/>
    <x v="0"/>
  </r>
  <r>
    <x v="64"/>
    <s v="ACC-1080"/>
    <s v="Lavender Publishing"/>
    <s v="Xavier Correia"/>
    <s v="Lavender Publishing - Content - Social - AOR - 04/2026"/>
    <x v="2"/>
    <x v="0"/>
    <n v="360655.14"/>
    <s v="BRL"/>
    <n v="63055.14"/>
    <s v="BRL"/>
    <s v="Content - Social - AOR"/>
    <d v="2026-04-13T00:00:00"/>
    <d v="2026-01-23T00:00:00"/>
    <s v="Prospecting - Current Client (DEPRECATED)"/>
    <s v="Votorantim, BR"/>
    <s v="46"/>
    <s v="12"/>
    <x v="0"/>
  </r>
  <r>
    <x v="65"/>
    <s v="ACC-1095"/>
    <s v="Nimbus Media"/>
    <s v="Yasmin Nogueira"/>
    <s v="Nimbus Media - Content - Social - AOR - 05/2026"/>
    <x v="2"/>
    <x v="3"/>
    <n v="2627267.83"/>
    <s v="BRL"/>
    <n v="813135.72"/>
    <s v="BRL"/>
    <s v="Content - Social - AOR"/>
    <d v="2026-11-05T00:00:00"/>
    <d v="2025-01-12T00:00:00"/>
    <s v="Referral - Personal"/>
    <s v="Votorantim, BR"/>
    <s v="54"/>
    <s v="12"/>
    <x v="2"/>
  </r>
  <r>
    <x v="66"/>
    <s v="ACC-1031"/>
    <s v="Nova Studios"/>
    <s v="Queila Ribeiro"/>
    <s v="Nova Studios - Content - Social - AOR - 04/2026"/>
    <x v="0"/>
    <x v="0"/>
    <n v="3043949.95"/>
    <s v="BRL"/>
    <n v="1475924.6"/>
    <s v="BRL"/>
    <s v="Content - Social - AOR"/>
    <d v="2026-04-30T00:00:00"/>
    <d v="2025-05-19T00:00:00"/>
    <s v="Inbound - Current Client (DEPRECATED)"/>
    <s v="São Carlos, BR"/>
    <s v="130"/>
    <s v="12"/>
    <x v="0"/>
  </r>
  <r>
    <x v="67"/>
    <s v="ACC-1033"/>
    <s v="Onyx Utilities"/>
    <s v="Amanda Rios"/>
    <s v="Onyx Utilities - Content - Social - AOR - 05/2026"/>
    <x v="0"/>
    <x v="3"/>
    <n v="48076.800000000003"/>
    <s v="BRL"/>
    <n v="48076.800000000003"/>
    <s v="BRL"/>
    <s v="Content - Social - AOR"/>
    <d v="2026-05-31T00:00:00"/>
    <d v="2026-03-26T00:00:00"/>
    <s v="Inbound - Current Client (DEPRECATED)"/>
    <s v="Votorantim, BR"/>
    <s v="19"/>
    <s v="12"/>
    <x v="0"/>
  </r>
  <r>
    <x v="68"/>
    <s v="ACC-1040"/>
    <s v="Quartz Pharma"/>
    <s v="Sofia Guimaraes"/>
    <s v="Quartz Pharma - DDM - Media - Creative - 06/2026"/>
    <x v="0"/>
    <x v="4"/>
    <n v="845252.85"/>
    <s v="BRL"/>
    <n v="120707.71"/>
    <s v="BRL"/>
    <s v="Content - Social - AOR"/>
    <d v="2026-06-30T00:00:00"/>
    <d v="2026-06-02T00:00:00"/>
    <s v="Inbound - Current Client (DEPRECATED)"/>
    <s v="São Carlos, BR"/>
    <s v="36"/>
    <s v="12"/>
    <x v="0"/>
  </r>
  <r>
    <x v="69"/>
    <s v="ACC-1024"/>
    <s v="Topaz Publishing"/>
    <s v="Carla Mendes"/>
    <s v="Topaz Publishing - Content - Social - AOR - 04/2026"/>
    <x v="0"/>
    <x v="2"/>
    <n v="17899"/>
    <s v="BRL"/>
    <n v="17899"/>
    <s v="BRL"/>
    <s v="Content - Social - AOR"/>
    <d v="2026-01-04T00:00:00"/>
    <d v="2026-01-21T00:00:00"/>
    <s v="Inbound - Current Client (DEPRECATED)"/>
    <s v="São Carlos, BR"/>
    <s v="13"/>
    <s v="1"/>
    <x v="0"/>
  </r>
  <r>
    <x v="70"/>
    <s v="ACC-1092"/>
    <s v="Umbra Gaming"/>
    <s v="Joao Pereira"/>
    <s v="Umbra Gaming - Content - Social - AOR - 01/2026"/>
    <x v="2"/>
    <x v="2"/>
    <n v="300000"/>
    <s v="BRL"/>
    <n v="300000"/>
    <s v="BRL"/>
    <s v="Content - Social - AOR"/>
    <d v="2026-12-01T00:00:00"/>
    <d v="2025-08-12T00:00:00"/>
    <s v="Referral - Personal "/>
    <s v="Votorantim, BR"/>
    <s v="90"/>
    <s v="12"/>
    <x v="2"/>
  </r>
  <r>
    <x v="32"/>
    <s v="ACC-1111"/>
    <s v="Walnut Manufacturing"/>
    <s v="Wanda Borges"/>
    <s v="Walnut Manufacturing - Content - Social - AOR - 05/2026"/>
    <x v="2"/>
    <x v="1"/>
    <n v="2133050.04"/>
    <s v="BRL"/>
    <n v="768956.4"/>
    <s v="BRL"/>
    <s v="Content - Social - AOR"/>
    <d v="2026-05-29T00:00:00"/>
    <d v="2026-03-03T00:00:00"/>
    <s v="Inbound - Website - Media.Monks (DEPRECATED)"/>
    <s v="Votorantim, BR"/>
    <s v="15"/>
    <s v="12"/>
    <x v="3"/>
  </r>
  <r>
    <x v="39"/>
    <s v="ACC-1029"/>
    <s v="Zephyr Telecom"/>
    <s v="Ana Silva"/>
    <s v="Zephyr Telecom - DDM - Data - Services &amp; Tech - Services (Analytics &amp; Support) - 02/2026"/>
    <x v="3"/>
    <x v="2"/>
    <n v="3785206.2099999995"/>
    <s v="BRL"/>
    <n v="598144.80000000005"/>
    <s v="BRL"/>
    <s v="Content - Social - Project"/>
    <d v="2026-02-13T00:00:00"/>
    <d v="2025-11-14T00:00:00"/>
    <s v="Inbound - Current Client (DEPRECATED)"/>
    <s v="São Carlos, BR"/>
    <s v="60"/>
    <s v="12"/>
    <x v="0"/>
  </r>
  <r>
    <x v="71"/>
    <s v="ACC-1029"/>
    <s v="Zephyr Telecom"/>
    <s v="Ana Silva"/>
    <s v="Zephyr Telecom - DDM - Media - Managed Media (AOR) - 01/2026"/>
    <x v="0"/>
    <x v="1"/>
    <n v="414939.84"/>
    <s v="BRL"/>
    <n v="414939.84"/>
    <s v="BRL"/>
    <s v="Content - Social - Project"/>
    <d v="2026-07-31T00:00:00"/>
    <d v="2026-09-04T00:00:00"/>
    <s v="MH Lead (DEPRECATED)"/>
    <s v="São Carlos, BR"/>
    <s v="1"/>
    <s v="12"/>
    <x v="1"/>
  </r>
  <r>
    <x v="72"/>
    <s v="ACC-1052"/>
    <s v="Gravel Manufacturing"/>
    <s v="Karina Oliveira"/>
    <s v="Gravel Manufacturing - DDM - Commerce - Content - 06/2026"/>
    <x v="0"/>
    <x v="1"/>
    <n v="477489.48"/>
    <s v="BRL"/>
    <n v="477489.48"/>
    <s v="BRL"/>
    <s v="DDM - Commerce - Content"/>
    <d v="2026-06-30T00:00:00"/>
    <d v="2026-02-04T00:00:00"/>
    <s v="MH Lead (DEPRECATED)"/>
    <s v="São Carlos, BR"/>
    <s v="4"/>
    <s v="12"/>
    <x v="1"/>
  </r>
  <r>
    <x v="73"/>
    <s v="ACC-1004"/>
    <s v="Harbor Grocers"/>
    <s v="Carla Mendes"/>
    <s v="Harbor Grocers - DDM - Commerce - Content - 01/2026"/>
    <x v="3"/>
    <x v="2"/>
    <n v="1038355.7999999999"/>
    <s v="BRL"/>
    <n v="196152.12"/>
    <s v="BRL"/>
    <s v="DDM - Commerce - Content"/>
    <d v="2026-01-14T00:00:00"/>
    <d v="2025-06-11T00:00:00"/>
    <s v="Inbound - Current Client (DEPRECATED)"/>
    <s v="São Carlos, BR"/>
    <s v="90"/>
    <s v="12"/>
    <x v="0"/>
  </r>
  <r>
    <x v="74"/>
    <s v="ACC-1004"/>
    <s v="Harbor Grocers"/>
    <s v="Carla Mendes"/>
    <s v="Harbor Grocers - DDM - Commerce - Content - 01/2026"/>
    <x v="0"/>
    <x v="2"/>
    <n v="358921.88"/>
    <s v="BRL"/>
    <n v="197384.28"/>
    <s v="BRL"/>
    <s v="DDM - Commerce - Content"/>
    <d v="2026-01-14T00:00:00"/>
    <d v="2025-04-12T00:00:00"/>
    <s v="Inbound - Current Client (DEPRECATED) "/>
    <s v="São Carlos, BR"/>
    <s v="90"/>
    <s v="12"/>
    <x v="0"/>
  </r>
  <r>
    <x v="75"/>
    <s v="ACC-1004"/>
    <s v="Harbor Grocers"/>
    <s v="Carla Mendes"/>
    <s v="Harbor Grocers - DDM - Media - Managed Media (AOR) - 01/2026"/>
    <x v="0"/>
    <x v="2"/>
    <n v="45500"/>
    <s v="BRL"/>
    <n v="27900"/>
    <s v="BRL"/>
    <s v="DDM - Commerce - Content"/>
    <d v="2026-01-14T00:00:00"/>
    <d v="2025-12-23T00:00:00"/>
    <s v="Inbound - Current Client (DEPRECATED)"/>
    <s v="São Carlos, BR"/>
    <s v="90"/>
    <s v="2"/>
    <x v="0"/>
  </r>
  <r>
    <x v="76"/>
    <s v="ACC-1004"/>
    <s v="Harbor Grocers"/>
    <s v="Carla Mendes"/>
    <s v="Harbor Grocers - DDM - Media - Creative - 04/2026"/>
    <x v="0"/>
    <x v="2"/>
    <n v="45500"/>
    <s v="BRL"/>
    <n v="27900"/>
    <s v="BRL"/>
    <s v="DDM - Commerce - Content"/>
    <d v="2026-08-04T00:00:00"/>
    <d v="2026-03-19T00:00:00"/>
    <s v="Inbound - Current Client (DEPRECATED)"/>
    <s v="São Carlos, BR"/>
    <s v="6"/>
    <s v="2"/>
    <x v="0"/>
  </r>
  <r>
    <x v="77"/>
    <s v="ACC-1069"/>
    <s v="Honeysuckle Travel"/>
    <s v="Bruno Costa"/>
    <s v="Honeysuckle Travel - DDM - Commerce - Content - 05/2026"/>
    <x v="3"/>
    <x v="4"/>
    <n v="809225.34"/>
    <s v="BRL"/>
    <n v="117104.22"/>
    <s v="BRL"/>
    <s v="DDM - Commerce - Content"/>
    <d v="2026-05-31T00:00:00"/>
    <d v="2026-06-03T00:00:00"/>
    <s v="Inbound - Current Client (DEPRECATED)"/>
    <s v="São Carlos, BR"/>
    <s v="18"/>
    <s v="6"/>
    <x v="0"/>
  </r>
  <r>
    <x v="49"/>
    <s v="ACC-1065"/>
    <s v="Larkspur Foods"/>
    <s v="Joao Pereira"/>
    <s v="Larkspur Foods - DDM - Commerce - Content - 05/2026"/>
    <x v="2"/>
    <x v="1"/>
    <n v="265000"/>
    <s v="BRL"/>
    <n v="204000"/>
    <s v="BRL"/>
    <s v="DDM - Commerce - Content"/>
    <d v="2026-04-05T00:00:00"/>
    <d v="2026-03-03T00:00:00"/>
    <s v="Referral - Personal"/>
    <s v="São Carlos, BR"/>
    <s v="19"/>
    <s v="12"/>
    <x v="2"/>
  </r>
  <r>
    <x v="78"/>
    <s v="ACC-1041"/>
    <s v="Linden Foods"/>
    <s v="Amanda Rios"/>
    <s v="Linden Foods - DDM - Commerce - Content - 07/2026"/>
    <x v="0"/>
    <x v="3"/>
    <n v="366989.64"/>
    <s v="BRL"/>
    <n v="366989.64"/>
    <s v="BRL"/>
    <s v="DDM - Commerce - Content"/>
    <d v="2026-07-31T00:00:00"/>
    <d v="2025-02-10T00:00:00"/>
    <s v="Inbound - Current Client (DEPRECATED)"/>
    <s v="São Carlos, BR"/>
    <s v="26"/>
    <s v="12"/>
    <x v="0"/>
  </r>
  <r>
    <x v="18"/>
    <s v="ACC-1041"/>
    <s v="Linden Foods"/>
    <s v="Amanda Rios"/>
    <s v="Linden Foods - DDM - Commerce - Content - 05/2026"/>
    <x v="3"/>
    <x v="3"/>
    <n v="1926466.8"/>
    <s v="BRL"/>
    <n v="1332880.08"/>
    <s v="BRL"/>
    <s v="DDM - Commerce - Content"/>
    <d v="2026-05-31T00:00:00"/>
    <d v="2026-02-20T00:00:00"/>
    <s v="Inbound - Current Client (DEPRECATED)"/>
    <s v="São Carlos, BR"/>
    <s v="26"/>
    <s v="12"/>
    <x v="0"/>
  </r>
  <r>
    <x v="19"/>
    <s v="ACC-1066"/>
    <s v="Magnolia Retail"/>
    <s v="Carla Mendes"/>
    <s v="Magnolia Retail - DDM - Commerce - Content - 05/2026"/>
    <x v="0"/>
    <x v="1"/>
    <n v="795900.24"/>
    <s v="BRL"/>
    <n v="165852.79999999999"/>
    <s v="BRL"/>
    <s v="DDM - Commerce - Content"/>
    <d v="2026-05-31T00:00:00"/>
    <d v="2026-04-02T00:00:00"/>
    <s v="Inbound - Current Client (DEPRECATED)"/>
    <s v="São Carlos, BR"/>
    <s v="69"/>
    <s v="3"/>
    <x v="0"/>
  </r>
  <r>
    <x v="79"/>
    <s v="ACC-1066"/>
    <s v="Magnolia Retail"/>
    <s v="Carla Mendes"/>
    <s v="Magnolia Retail - DDM - Commerce - Content - 04/2026"/>
    <x v="0"/>
    <x v="3"/>
    <n v="308940"/>
    <s v="BRL"/>
    <n v="308940"/>
    <s v="BRL"/>
    <s v="DDM - Commerce - Content"/>
    <d v="2026-04-30T00:00:00"/>
    <d v="2026-03-23T00:00:00"/>
    <s v="Inbound - Current Client (DEPRECATED)"/>
    <s v="São Carlos, BR"/>
    <s v="13"/>
    <s v="12"/>
    <x v="0"/>
  </r>
  <r>
    <x v="65"/>
    <s v="ACC-1095"/>
    <s v="Nimbus Media"/>
    <s v="Yasmin Nogueira"/>
    <s v="Nimbus Media - DDM - Commerce - Content - 05/2026"/>
    <x v="2"/>
    <x v="3"/>
    <n v="2627267.83"/>
    <s v="BRL"/>
    <n v="239159.76"/>
    <s v="BRL"/>
    <s v="DDM - Commerce - Content"/>
    <d v="2026-11-05T00:00:00"/>
    <d v="2025-01-12T00:00:00"/>
    <s v="Referral - Personal"/>
    <s v="Votorantim, BR"/>
    <s v="54"/>
    <s v="12"/>
    <x v="2"/>
  </r>
  <r>
    <x v="21"/>
    <s v="ACC-1031"/>
    <s v="Nova Studios"/>
    <s v="Queila Ribeiro"/>
    <s v="Nova Studios - DDM - Data - Services &amp; Tech - Services (Analytics &amp; Support) - 03/2026"/>
    <x v="0"/>
    <x v="3"/>
    <n v="3015949.3200000003"/>
    <s v="BRL"/>
    <n v="1130106.3600000001"/>
    <s v="BRL"/>
    <s v="DDM - Commerce - Content"/>
    <d v="2026-07-31T00:00:00"/>
    <d v="2025-01-12T00:00:00"/>
    <s v="Inbound - Current Client (DEPRECATED)"/>
    <s v="São Carlos, BR"/>
    <s v="134"/>
    <s v="12"/>
    <x v="0"/>
  </r>
  <r>
    <x v="80"/>
    <s v="ACC-1031"/>
    <s v="Nova Studios"/>
    <s v="Queila Ribeiro"/>
    <s v="Nova Studios - DDM - Media - Managed Media (AOR) - 04/2026"/>
    <x v="0"/>
    <x v="0"/>
    <n v="500000"/>
    <s v="BRL"/>
    <n v="500000"/>
    <s v="BRL"/>
    <s v="DDM - Commerce - Content"/>
    <d v="2026-05-31T00:00:00"/>
    <d v="2026-01-19T00:00:00"/>
    <s v="Inbound - Current Client (DEPRECATED)"/>
    <s v="São Carlos, BR"/>
    <s v="29"/>
    <s v="6"/>
    <x v="0"/>
  </r>
  <r>
    <x v="81"/>
    <s v="ACC-1056"/>
    <s v="Orion Bank"/>
    <s v="Carla Mendes"/>
    <s v="Orion Bank - DDM - Commerce - Content - 04/2026"/>
    <x v="0"/>
    <x v="2"/>
    <n v="8023.37"/>
    <s v="BRL"/>
    <n v="8023.37"/>
    <s v="BRL"/>
    <s v="DDM - Commerce - Content"/>
    <d v="2026-04-13T00:00:00"/>
    <d v="2026-01-04T00:00:00"/>
    <s v="Existing Client - Account/Growth Activity"/>
    <s v="Votorantim, BR"/>
    <s v="1"/>
    <s v="1"/>
    <x v="0"/>
  </r>
  <r>
    <x v="25"/>
    <s v="ACC-1017"/>
    <s v="Quince Travel"/>
    <s v="Pedro Martins"/>
    <s v="Quince Travel - DDM - Commerce - Content - 04/2026"/>
    <x v="3"/>
    <x v="0"/>
    <n v="2510326.92"/>
    <s v="BRL"/>
    <n v="1483449.96"/>
    <s v="BRL"/>
    <s v="DDM - Commerce - Content"/>
    <d v="2026-04-30T00:00:00"/>
    <d v="2026-06-03T00:00:00"/>
    <s v="Inbound - Current Client (DEPRECATED)"/>
    <s v="São Carlos, BR"/>
    <s v="39"/>
    <s v="12"/>
    <x v="0"/>
  </r>
  <r>
    <x v="82"/>
    <s v="ACC-1036"/>
    <s v="Rowan Energy"/>
    <s v="Pedro Martins"/>
    <s v="Rowan Energy - DDM - Media - Managed Media (AOR) - 03/2026"/>
    <x v="0"/>
    <x v="2"/>
    <n v="274209.96999999997"/>
    <s v="BRL"/>
    <n v="26598.37"/>
    <s v="BRL"/>
    <s v="DDM - Commerce - Content"/>
    <d v="2026-05-03T00:00:00"/>
    <d v="2026-05-03T00:00:00"/>
    <s v="Inbound - Current Client (DEPRECATED)"/>
    <s v="Votorantim, BR"/>
    <s v="40"/>
    <s v="1"/>
    <x v="0"/>
  </r>
  <r>
    <x v="83"/>
    <s v="ACC-1006"/>
    <s v="Willow Beauty"/>
    <s v="Bruno Costa"/>
    <s v="Willow Beauty - DDM - Media - Creative - 04/2026"/>
    <x v="0"/>
    <x v="0"/>
    <n v="139766.74"/>
    <s v="BRL"/>
    <n v="64706.04"/>
    <s v="BRL"/>
    <s v="DDM - Commerce - Content"/>
    <d v="2026-04-29T00:00:00"/>
    <d v="2026-03-30T00:00:00"/>
    <s v="Referral - S4 Company"/>
    <s v="Votorantim, BR"/>
    <s v="14"/>
    <s v="1"/>
    <x v="2"/>
  </r>
  <r>
    <x v="34"/>
    <s v="ACC-1091"/>
    <s v="Wren Chemicals"/>
    <s v="Karina Oliveira"/>
    <s v="Wren Chemicals - DDM - Commerce - Content - 06/2026"/>
    <x v="3"/>
    <x v="0"/>
    <n v="1993383.1199999999"/>
    <s v="BRL"/>
    <n v="1271332.8"/>
    <s v="BRL"/>
    <s v="DDM - Commerce - Content"/>
    <d v="2026-02-06T00:00:00"/>
    <d v="2026-09-03T00:00:00"/>
    <s v="Inbound - Current Client (DEPRECATED)"/>
    <s v="São Carlos, BR"/>
    <s v="15"/>
    <s v="12"/>
    <x v="0"/>
  </r>
  <r>
    <x v="35"/>
    <s v="ACC-1043"/>
    <s v="Xanadu Media"/>
    <s v="Bernardo Castro"/>
    <s v="Xanadu Media - DDM - Commerce - Content - 04/2026"/>
    <x v="0"/>
    <x v="1"/>
    <n v="838800"/>
    <s v="BRL"/>
    <n v="248400"/>
    <s v="BRL"/>
    <s v="DDM - Commerce - Content"/>
    <d v="2026-06-30T00:00:00"/>
    <d v="2026-03-30T00:00:00"/>
    <s v="Prospecting - Current Client (DEPRECATED)"/>
    <s v="Votorantim, BR"/>
    <s v="5"/>
    <s v="12"/>
    <x v="0"/>
  </r>
  <r>
    <x v="84"/>
    <s v="ACC-1043"/>
    <s v="Xanadu Media"/>
    <s v="Bernardo Castro"/>
    <s v="Xanadu Media - DDM - Media - Managed Media (AOR) - 06/2026"/>
    <x v="0"/>
    <x v="0"/>
    <n v="134323.20000000001"/>
    <s v="BRL"/>
    <n v="134323.20000000001"/>
    <s v="BRL"/>
    <s v="DDM - Commerce - Content"/>
    <d v="2026-04-30T00:00:00"/>
    <d v="2025-12-29T00:00:00"/>
    <s v="Inbound - Current Client (DEPRECATED)"/>
    <s v="Votorantim, BR"/>
    <s v="68"/>
    <s v="12"/>
    <x v="0"/>
  </r>
  <r>
    <x v="85"/>
    <s v="ACC-1028"/>
    <s v="Xenon Realty"/>
    <s v="Bernardo Castro"/>
    <s v="Xenon Realty - DDM - Commerce - Content - 05/2026"/>
    <x v="0"/>
    <x v="3"/>
    <n v="694094.88"/>
    <s v="BRL"/>
    <n v="292423.2"/>
    <s v="BRL"/>
    <s v="DDM - Commerce - Content"/>
    <d v="2026-05-31T00:00:00"/>
    <d v="2026-02-19T00:00:00"/>
    <s v="Inbound - Current Client (DEPRECATED)"/>
    <s v="Votorantim, BR"/>
    <s v="33"/>
    <s v="12"/>
    <x v="0"/>
  </r>
  <r>
    <x v="36"/>
    <s v="ACC-1081"/>
    <s v="Yarrow Health"/>
    <s v="Amanda Rios"/>
    <s v="Yarrow Health - DDM - Commerce - Content - 06/2026"/>
    <x v="3"/>
    <x v="4"/>
    <n v="695284.8"/>
    <s v="BRL"/>
    <n v="170638.2"/>
    <s v="BRL"/>
    <s v="DDM - Commerce - Content"/>
    <d v="2026-06-30T00:00:00"/>
    <d v="2026-10-04T00:00:00"/>
    <s v="Existing Client - Account/Growth Activity"/>
    <s v="São Carlos, BR"/>
    <s v="4"/>
    <s v="12"/>
    <x v="0"/>
  </r>
  <r>
    <x v="86"/>
    <s v="ACC-1044"/>
    <s v="Yerba Studios"/>
    <s v="Carla Mendes"/>
    <s v="Yerba Studios - DDM - Commerce - Content - 01/2026"/>
    <x v="3"/>
    <x v="2"/>
    <n v="760000"/>
    <s v="BRL"/>
    <n v="131750"/>
    <s v="BRL"/>
    <s v="DDM - Commerce - Content"/>
    <d v="2026-01-27T00:00:00"/>
    <d v="2025-11-26T00:00:00"/>
    <s v="Inbound - Current Client (DEPRECATED)"/>
    <s v="São Carlos, BR"/>
    <s v="77"/>
    <s v="12"/>
    <x v="0"/>
  </r>
  <r>
    <x v="87"/>
    <s v="ACC-1044"/>
    <s v="Yerba Studios"/>
    <s v="Carla Mendes"/>
    <s v="Yerba Studios - DDM - Commerce - Content - 01/2026"/>
    <x v="0"/>
    <x v="2"/>
    <n v="10784"/>
    <s v="BRL"/>
    <n v="5392"/>
    <s v="BRL"/>
    <s v="DDM - Commerce - Content"/>
    <d v="2026-01-27T00:00:00"/>
    <d v="2025-12-18T00:00:00"/>
    <s v="Inbound - Current Client (DEPRECATED)"/>
    <s v="São Carlos, BR"/>
    <s v="77"/>
    <s v="12"/>
    <x v="0"/>
  </r>
  <r>
    <x v="1"/>
    <s v="ACC-1064"/>
    <s v="Arrow Construction"/>
    <s v="Daniel Moura"/>
    <s v="Arrow Construction - DDM - Data - Services &amp; Tech - Services (Data Science/Data Eng.) - 05/2026"/>
    <x v="0"/>
    <x v="1"/>
    <n v="1429074.08"/>
    <s v="BRL"/>
    <n v="349188.48"/>
    <s v="BRL"/>
    <s v="DDM - CRM - Other"/>
    <d v="2026-05-29T00:00:00"/>
    <d v="2026-02-13T00:00:00"/>
    <s v="Inbound - Current Client (DEPRECATED)"/>
    <s v="São Carlos, BR"/>
    <s v="33"/>
    <s v="12"/>
    <x v="0"/>
  </r>
  <r>
    <x v="4"/>
    <s v="ACC-1112"/>
    <s v="Company 111"/>
    <s v="Xavier Correia"/>
    <s v="Company 111 - DDM - CRM - Other - 02/2026"/>
    <x v="2"/>
    <x v="2"/>
    <n v="4293965.2399999993"/>
    <s v="BRL"/>
    <n v="439216.68"/>
    <s v="BRL"/>
    <s v="DDM - CRM - Other"/>
    <d v="2026-02-27T00:00:00"/>
    <d v="2026-01-20T00:00:00"/>
    <s v="Referral - S4 Company"/>
    <s v="São Carlos, BR"/>
    <s v="46"/>
    <s v="12"/>
    <x v="2"/>
  </r>
  <r>
    <x v="88"/>
    <s v="ACC-1084"/>
    <s v="Nigella Security"/>
    <s v="Bruno Costa"/>
    <s v="Nigella Security - DDM - Media - Creative - 02/2026"/>
    <x v="3"/>
    <x v="2"/>
    <n v="3156666.46"/>
    <s v="BRL"/>
    <n v="660775.92000000004"/>
    <s v="BRL"/>
    <s v="DDM - CRM - Other"/>
    <d v="2026-02-26T00:00:00"/>
    <d v="2026-12-01T00:00:00"/>
    <s v="Inbound - Current Client (DEPRECATED)"/>
    <s v="São Carlos, BR"/>
    <s v="47"/>
    <s v="12"/>
    <x v="0"/>
  </r>
  <r>
    <x v="15"/>
    <s v="ACC-1010"/>
    <s v="Juniper Data"/>
    <s v="Lucas Almeida"/>
    <s v="Juniper Data - DDM - CRM - Salesforce Marketing Cloud - 06/2026"/>
    <x v="2"/>
    <x v="3"/>
    <n v="286464"/>
    <s v="BRL"/>
    <n v="250464"/>
    <s v="BRL"/>
    <s v="DDM - CRM - Salesforce Marketing Cloud"/>
    <d v="2026-06-29T00:00:00"/>
    <d v="2025-03-11T00:00:00"/>
    <s v="Industry Event"/>
    <s v="São Carlos, BR"/>
    <s v="134"/>
    <s v="24"/>
    <x v="4"/>
  </r>
  <r>
    <x v="89"/>
    <s v="ACC-1070"/>
    <s v="Quinoa Foods"/>
    <s v="Wanda Borges"/>
    <s v="Quinoa Foods - DDM - Data - Services &amp; Tech - Services (Data Science/Data Eng.) - 01/2026"/>
    <x v="2"/>
    <x v="2"/>
    <n v="1014586.08"/>
    <s v="BRL"/>
    <n v="286707.59999999998"/>
    <s v="BRL"/>
    <s v="DDM - CRM - Salesforce Marketing Cloud"/>
    <d v="2026-06-01T00:00:00"/>
    <d v="2025-10-27T00:00:00"/>
    <s v="Prospecting - Current Client (DEPRECATED)"/>
    <s v="São Paulo, BR"/>
    <s v="98"/>
    <s v="6"/>
    <x v="0"/>
  </r>
  <r>
    <x v="90"/>
    <s v="ACC-1074"/>
    <s v="Tamarind Bank"/>
    <s v="Wanda Borges"/>
    <s v="Tamarind Bank - DDM - CRM - Salesforce Marketing Cloud - 05/2026"/>
    <x v="2"/>
    <x v="1"/>
    <n v="863424.8"/>
    <s v="BRL"/>
    <n v="487402.9"/>
    <s v="BRL"/>
    <s v="DDM - CRM - Salesforce Marketing Cloud"/>
    <d v="2026-01-05T00:00:00"/>
    <d v="2026-11-02T00:00:00"/>
    <s v="Prospecting - Current Client (DEPRECATED)"/>
    <s v="São Carlos, BR"/>
    <s v="55"/>
    <s v="10"/>
    <x v="0"/>
  </r>
  <r>
    <x v="91"/>
    <s v="ACC-1074"/>
    <s v="Tamarind Bank"/>
    <s v="Wanda Borges"/>
    <s v="Tamarind Bank - DDM - CRM - Salesforce Marketing Cloud - 06/2026"/>
    <x v="1"/>
    <x v="4"/>
    <n v="265143.84999999998"/>
    <s v="BRL"/>
    <n v="265143.84999999998"/>
    <s v="BRL"/>
    <s v="DDM - CRM - Salesforce Marketing Cloud"/>
    <d v="2026-08-06T00:00:00"/>
    <d v="2026-09-04T00:00:00"/>
    <s v="Referral - Personal"/>
    <s v="São Carlos, BR"/>
    <s v="5"/>
    <s v="5"/>
    <x v="2"/>
  </r>
  <r>
    <x v="92"/>
    <s v="ACC-1090"/>
    <s v="Filbert Sports"/>
    <s v="Bruno Costa"/>
    <s v="Filbert Sports - DDM - Data - Automation - 06/2026"/>
    <x v="0"/>
    <x v="4"/>
    <n v="120000"/>
    <s v="BRL"/>
    <n v="120000"/>
    <s v="BRL"/>
    <s v="DDM - Data - Automation"/>
    <d v="2026-06-30T00:00:00"/>
    <d v="2026-06-03T00:00:00"/>
    <s v="Inbound - Current Client (DEPRECATED) "/>
    <s v="São Carlos, BR"/>
    <s v="33"/>
    <s v="12"/>
    <x v="0"/>
  </r>
  <r>
    <x v="93"/>
    <s v="ACC-1061"/>
    <s v="Nectarine Cosmetics"/>
    <s v="Sofia Guimaraes"/>
    <s v="Nectarine Cosmetics - DDM - Data - Automation - 04/2026"/>
    <x v="3"/>
    <x v="0"/>
    <n v="120000"/>
    <s v="BRL"/>
    <n v="120000"/>
    <s v="BRL"/>
    <s v="DDM - Data - Automation"/>
    <d v="2026-04-30T00:00:00"/>
    <d v="2026-08-01T00:00:00"/>
    <s v="Inbound - Current Client (DEPRECATED)"/>
    <s v="São Carlos, BR"/>
    <s v="60"/>
    <s v="12"/>
    <x v="0"/>
  </r>
  <r>
    <x v="94"/>
    <s v="ACC-1061"/>
    <s v="Nectarine Cosmetics"/>
    <s v="Sofia Guimaraes"/>
    <s v="Nectarine Cosmetics - DDM - Data - Automation - 04/2026"/>
    <x v="0"/>
    <x v="0"/>
    <n v="24000"/>
    <s v="BRL"/>
    <n v="24000"/>
    <s v="BRL"/>
    <s v="DDM - Data - Automation"/>
    <d v="2026-04-30T00:00:00"/>
    <d v="2026-12-02T00:00:00"/>
    <s v="Inbound - Current Client (DEPRECATED)"/>
    <s v="São Carlos, BR"/>
    <s v="60"/>
    <s v="12"/>
    <x v="0"/>
  </r>
  <r>
    <x v="95"/>
    <s v="ACC-1089"/>
    <s v="Sage Streaming"/>
    <s v="Karina Oliveira"/>
    <s v="Sage Streaming - DDM - Data - Automation - 03/2026"/>
    <x v="0"/>
    <x v="2"/>
    <n v="252348"/>
    <s v="BRL"/>
    <n v="252348"/>
    <s v="BRL"/>
    <s v="DDM - Data - Automation"/>
    <d v="2026-03-25T00:00:00"/>
    <d v="2026-05-02T00:00:00"/>
    <s v="Inbound - Current Client (DEPRECATED)"/>
    <s v="São Paulo, BR"/>
    <s v="20"/>
    <s v="12"/>
    <x v="0"/>
  </r>
  <r>
    <x v="96"/>
    <s v="ACC-1058"/>
    <s v="Summit Auto"/>
    <s v="Bruno Costa"/>
    <s v="Summit Auto - DDM - Data - Automation - 06/2026"/>
    <x v="0"/>
    <x v="4"/>
    <n v="144000"/>
    <s v="BRL"/>
    <n v="144000"/>
    <s v="BRL"/>
    <s v="DDM - Data - Automation"/>
    <d v="2026-06-30T00:00:00"/>
    <d v="2026-03-13T00:00:00"/>
    <s v="Inbound - Current Client (DEPRECATED)"/>
    <s v="São Carlos, BR"/>
    <s v="32"/>
    <s v="12"/>
    <x v="0"/>
  </r>
  <r>
    <x v="97"/>
    <s v="ACC-1079"/>
    <s v="Vervain Mobility"/>
    <s v="Nicolas Teixeira"/>
    <s v="Vervain Mobility - DDM - Data - Automation - 05/2026"/>
    <x v="1"/>
    <x v="1"/>
    <n v="144000"/>
    <s v="BRL"/>
    <n v="144000"/>
    <s v="BRL"/>
    <s v="DDM - Data - Automation"/>
    <d v="2026-05-29T00:00:00"/>
    <d v="2026-02-13T00:00:00"/>
    <s v="Referral - Personal"/>
    <s v="São Carlos, BR"/>
    <s v="43"/>
    <s v="12"/>
    <x v="2"/>
  </r>
  <r>
    <x v="98"/>
    <s v="ACC-1106"/>
    <s v="Yucca Farms"/>
    <s v="Joao Pereira"/>
    <s v="Yucca Farms - DDM - Data - Automation - 03/2026"/>
    <x v="2"/>
    <x v="2"/>
    <n v="195525"/>
    <s v="BRL"/>
    <n v="25500"/>
    <s v="BRL"/>
    <s v="DDM - Data - Automation"/>
    <d v="2026-03-31T00:00:00"/>
    <d v="2025-11-26T00:00:00"/>
    <s v="Referral - Personal"/>
    <s v="Votorantim, BR"/>
    <s v="14"/>
    <s v="3"/>
    <x v="2"/>
  </r>
  <r>
    <x v="99"/>
    <s v="ACC-1020"/>
    <s v="Zucchini Logistics"/>
    <s v="Nicolas Teixeira"/>
    <s v="Zucchini Logistics - DDM - Data - Automation - 03/2026"/>
    <x v="1"/>
    <x v="2"/>
    <n v="264500"/>
    <s v="BRL"/>
    <n v="264500"/>
    <s v="BRL"/>
    <s v="DDM - Data - Automation"/>
    <d v="2026-03-30T00:00:00"/>
    <d v="2026-03-19T00:00:00"/>
    <s v="Referral - Internal"/>
    <s v="São Carlos, BR"/>
    <s v="15"/>
    <s v="5"/>
    <x v="2"/>
  </r>
  <r>
    <x v="100"/>
    <s v="ACC-1121"/>
    <s v="Company 120"/>
    <s v="Lucas Almeida"/>
    <s v="Company 120 - DDM - Data - Consulting - 05/2026"/>
    <x v="1"/>
    <x v="6"/>
    <n v="427005.1"/>
    <s v="BRL"/>
    <n v="427005.1"/>
    <s v="BRL"/>
    <s v="DDM - Data - Consulting"/>
    <d v="2026-05-25T00:00:00"/>
    <d v="2026-03-16T00:00:00"/>
    <s v="Referral - Internal"/>
    <s v="São Paulo, BR"/>
    <s v="15"/>
    <s v="8"/>
    <x v="2"/>
  </r>
  <r>
    <x v="101"/>
    <s v="ACC-1059"/>
    <s v="Basalt Mining"/>
    <s v="Amanda Rios"/>
    <s v="Basalt Mining - DDM - Data - Services &amp; Tech - Platforms Reselling - 04/2026"/>
    <x v="3"/>
    <x v="0"/>
    <n v="1545188.16"/>
    <s v="BRL"/>
    <n v="1545188.16"/>
    <s v="BRL"/>
    <s v="DDM - Data - Services &amp; Tech - Platforms Reselling"/>
    <d v="2026-04-30T00:00:00"/>
    <d v="2025-12-18T00:00:00"/>
    <s v="Inbound - Current Client (DEPRECATED)"/>
    <s v="São Paulo, BR"/>
    <s v="35"/>
    <s v="12"/>
    <x v="0"/>
  </r>
  <r>
    <x v="102"/>
    <s v="ACC-1113"/>
    <s v="Company 112"/>
    <s v="Diego Rocha"/>
    <s v="Company 112 - DDM - Data - Services &amp; Tech - Platforms Reselling - 02/2026"/>
    <x v="1"/>
    <x v="2"/>
    <n v="32400"/>
    <s v="BRL"/>
    <n v="32400"/>
    <s v="BRL"/>
    <s v="DDM - Data - Services &amp; Tech - Platforms Reselling"/>
    <d v="2026-02-24T00:00:00"/>
    <d v="2026-11-02T00:00:00"/>
    <s v="Inbound - Website - Media.Monks (DEPRECATED)"/>
    <s v="São Paulo, BR"/>
    <s v="49"/>
    <s v="12"/>
    <x v="3"/>
  </r>
  <r>
    <x v="103"/>
    <s v="ACC-1060"/>
    <s v="Fennel Footwear"/>
    <s v="Pedro Martins"/>
    <s v="Fennel Footwear - DDM - Data - Services &amp; Tech - Platforms Reselling - 05/2026"/>
    <x v="3"/>
    <x v="0"/>
    <n v="57011.76"/>
    <s v="BRL"/>
    <n v="57011.76"/>
    <s v="BRL"/>
    <s v="DDM - Data - Services &amp; Tech - Platforms Reselling"/>
    <d v="2026-05-14T00:00:00"/>
    <d v="2026-04-14T00:00:00"/>
    <s v="Existing Client - Account/Growth Activity"/>
    <s v="São Paulo, BR"/>
    <s v="0"/>
    <s v="12"/>
    <x v="0"/>
  </r>
  <r>
    <x v="104"/>
    <s v="ACC-1051"/>
    <s v="Pyrite Fintech"/>
    <s v="Karina Oliveira"/>
    <s v="Pyrite Fintech - DDM - Data - Services &amp; Tech - Platforms Reselling - 04/2026"/>
    <x v="3"/>
    <x v="0"/>
    <n v="220278.24"/>
    <s v="BRL"/>
    <n v="220278.24"/>
    <s v="BRL"/>
    <s v="DDM - Data - Services &amp; Tech - Platforms Reselling"/>
    <d v="2026-04-30T00:00:00"/>
    <d v="2026-06-04T00:00:00"/>
    <s v="MH Lead (DEPRECATED)"/>
    <s v="São Paulo, BR"/>
    <s v="8"/>
    <s v="12"/>
    <x v="1"/>
  </r>
  <r>
    <x v="105"/>
    <s v="ACC-1097"/>
    <s v="Quince Pharma"/>
    <s v="Joao Pereira"/>
    <s v="Quince Pharma - DDM - Data - Services &amp; Tech - Platforms Reselling - 06/2026"/>
    <x v="2"/>
    <x v="1"/>
    <n v="148800"/>
    <s v="BRL"/>
    <n v="148800"/>
    <s v="BRL"/>
    <s v="DDM - Data - Services &amp; Tech - Platforms Reselling"/>
    <d v="2026-01-06T00:00:00"/>
    <d v="2026-10-04T00:00:00"/>
    <s v="Referral - Personal"/>
    <s v="São Paulo, BR"/>
    <s v="1"/>
    <s v="12"/>
    <x v="2"/>
  </r>
  <r>
    <x v="106"/>
    <s v="ACC-1086"/>
    <s v="Sable Footwear"/>
    <s v="Joao Pereira"/>
    <s v="Sable Footwear - DDM - Data - Services &amp; Tech - Platforms Reselling - 02/2026"/>
    <x v="2"/>
    <x v="2"/>
    <n v="732596.04"/>
    <s v="BRL"/>
    <n v="732596.04"/>
    <s v="BRL"/>
    <s v="DDM - Data - Services &amp; Tech - Platforms Reselling"/>
    <d v="2026-02-23T00:00:00"/>
    <d v="2025-09-24T00:00:00"/>
    <s v="Inbound - Website - Media.Monks (DEPRECATED)"/>
    <s v="São Paulo, BR"/>
    <s v="50"/>
    <s v="12"/>
    <x v="3"/>
  </r>
  <r>
    <x v="107"/>
    <s v="ACC-1089"/>
    <s v="Sage Streaming"/>
    <s v="Karina Oliveira"/>
    <s v="Sage Streaming - DDM - Data - Services &amp; Tech - Platforms Reselling - 04/2026"/>
    <x v="0"/>
    <x v="4"/>
    <n v="68000"/>
    <s v="BRL"/>
    <n v="68000"/>
    <s v="BRL"/>
    <s v="DDM - Data - Services &amp; Tech - Platforms Reselling"/>
    <d v="2026-04-30T00:00:00"/>
    <d v="2026-12-02T00:00:00"/>
    <s v="Inbound - Current Client (DEPRECATED)"/>
    <s v="São Paulo, BR"/>
    <s v="4"/>
    <s v="12"/>
    <x v="0"/>
  </r>
  <r>
    <x v="108"/>
    <s v="ACC-1042"/>
    <s v="Wisteria Publishing"/>
    <s v="Amanda Rios"/>
    <s v="Wisteria Publishing - DDM - Data - Services &amp; Tech - Platforms Reselling - 02/2026"/>
    <x v="3"/>
    <x v="2"/>
    <n v="664386.76"/>
    <s v="BRL"/>
    <n v="664386.76"/>
    <s v="BRL"/>
    <s v="DDM - Data - Services &amp; Tech - Platforms Reselling"/>
    <d v="2026-02-26T00:00:00"/>
    <d v="2026-01-29T00:00:00"/>
    <s v="Inbound - Current Client (DEPRECATED)"/>
    <s v="São Paulo, BR"/>
    <s v="47"/>
    <s v="12"/>
    <x v="0"/>
  </r>
  <r>
    <x v="109"/>
    <s v="ACC-1032"/>
    <s v="Zedoary Chemicals"/>
    <s v="Amanda Rios"/>
    <s v="Zedoary Chemicals - DDM - Data - Services &amp; Tech - Platforms Reselling - 05/2026"/>
    <x v="3"/>
    <x v="1"/>
    <n v="205277.88"/>
    <s v="BRL"/>
    <n v="205277.88"/>
    <s v="BRL"/>
    <s v="DDM - Data - Services &amp; Tech - Platforms Reselling"/>
    <d v="2026-05-31T00:00:00"/>
    <d v="2026-03-19T00:00:00"/>
    <s v="Inbound - Current Client (DEPRECATED)"/>
    <s v="São Paulo, BR"/>
    <s v="4"/>
    <s v="12"/>
    <x v="0"/>
  </r>
  <r>
    <x v="0"/>
    <s v="ACC-1037"/>
    <s v="Acacia Telecom"/>
    <s v="Bruno Costa"/>
    <s v="Acacia Telecom - DDM - Media - Creative - 03/2026"/>
    <x v="0"/>
    <x v="0"/>
    <n v="601599.48"/>
    <s v="BRL"/>
    <n v="31909.8"/>
    <s v="BRL"/>
    <s v="DDM - Data - Services &amp; Tech - Services (Analytics &amp; Support)"/>
    <d v="2026-04-30T00:00:00"/>
    <d v="2026-02-26T00:00:00"/>
    <s v="Inbound - Current Client (DEPRECATED)"/>
    <s v="São Carlos, BR"/>
    <s v="42"/>
    <s v="12"/>
    <x v="0"/>
  </r>
  <r>
    <x v="110"/>
    <s v="ACC-1007"/>
    <s v="Anise Beauty"/>
    <s v="Daniel Moura"/>
    <s v="Anise Beauty - DDM - Data - Services &amp; Tech - Services (Analytics &amp; Support) - 05/2026"/>
    <x v="0"/>
    <x v="3"/>
    <n v="1302107.45"/>
    <s v="BRL"/>
    <n v="265621.21000000002"/>
    <s v="BRL"/>
    <s v="DDM - Data - Services &amp; Tech - Services (Analytics &amp; Support)"/>
    <d v="2026-05-31T00:00:00"/>
    <d v="2026-11-03T00:00:00"/>
    <s v="Don't Know/Other (DEPRECATED)"/>
    <s v="Votorantim, BR"/>
    <s v="15"/>
    <s v="12"/>
    <x v="1"/>
  </r>
  <r>
    <x v="1"/>
    <s v="ACC-1064"/>
    <s v="Arrow Construction"/>
    <s v="Daniel Moura"/>
    <s v="Arrow Construction - DDM - Media - Managed Media (AOR) - 05/2026"/>
    <x v="0"/>
    <x v="1"/>
    <n v="1429074.08"/>
    <s v="BRL"/>
    <n v="451225.8"/>
    <s v="BRL"/>
    <s v="DDM - Data - Services &amp; Tech - Services (Analytics &amp; Support)"/>
    <d v="2026-05-29T00:00:00"/>
    <d v="2026-02-13T00:00:00"/>
    <s v="Inbound - Current Client (DEPRECATED)"/>
    <s v="São Carlos, BR"/>
    <s v="33"/>
    <s v="12"/>
    <x v="0"/>
  </r>
  <r>
    <x v="111"/>
    <s v="ACC-1059"/>
    <s v="Basalt Mining"/>
    <s v="Amanda Rios"/>
    <s v="Basalt Mining - DDM - Data - Services &amp; Tech - Services (Analytics &amp; Support) - 01/2026"/>
    <x v="3"/>
    <x v="2"/>
    <n v="253579.55"/>
    <s v="BRL"/>
    <n v="152442.06"/>
    <s v="BRL"/>
    <s v="DDM - Data - Services &amp; Tech - Services (Analytics &amp; Support)"/>
    <d v="2026-01-31T00:00:00"/>
    <d v="2025-11-14T00:00:00"/>
    <s v="Inbound - Current Client (DEPRECATED)"/>
    <s v="São Carlos, BR"/>
    <s v="69"/>
    <s v="1"/>
    <x v="0"/>
  </r>
  <r>
    <x v="112"/>
    <s v="ACC-1059"/>
    <s v="Basalt Mining"/>
    <s v="Amanda Rios"/>
    <s v="Basalt Mining - DDM - Data - Services &amp; Tech - Services (Analytics &amp; Support) - 05/2026"/>
    <x v="3"/>
    <x v="3"/>
    <n v="2132708.1"/>
    <s v="BRL"/>
    <n v="1829304.72"/>
    <s v="BRL"/>
    <s v="DDM - Data - Services &amp; Tech - Services (Analytics &amp; Support)"/>
    <d v="2026-05-31T00:00:00"/>
    <d v="2026-12-01T00:00:00"/>
    <s v="Inbound - Current Client (DEPRECATED)"/>
    <s v="São Carlos, BR"/>
    <s v="8"/>
    <s v="12"/>
    <x v="0"/>
  </r>
  <r>
    <x v="3"/>
    <s v="ACC-1062"/>
    <s v="Cedar Foods"/>
    <s v="Daniel Moura"/>
    <s v="Cedar Foods - DDM - Data - Services &amp; Tech - Services (Analytics &amp; Support) - 06/2026"/>
    <x v="0"/>
    <x v="1"/>
    <n v="4565828.57"/>
    <s v="BRL"/>
    <n v="629262.96"/>
    <s v="BRL"/>
    <s v="DDM - Data - Services &amp; Tech - Services (Analytics &amp; Support)"/>
    <d v="2026-06-30T00:00:00"/>
    <d v="2026-01-26T00:00:00"/>
    <s v="Inbound - Current Client (DEPRECATED)"/>
    <s v="Votorantim, BR"/>
    <s v="33"/>
    <s v="12"/>
    <x v="0"/>
  </r>
  <r>
    <x v="6"/>
    <s v="ACC-1119"/>
    <s v="Company 118"/>
    <s v="Wanda Borges"/>
    <s v="Company 118 - DDM - Data - Services &amp; Tech - Services (Analytics &amp; Support) - 05/2026"/>
    <x v="2"/>
    <x v="1"/>
    <n v="2344909.7999999998"/>
    <s v="BRL"/>
    <n v="189158.04"/>
    <s v="BRL"/>
    <s v="DDM - Data - Services &amp; Tech - Services (Analytics &amp; Support)"/>
    <d v="2026-05-29T00:00:00"/>
    <d v="2026-02-27T00:00:00"/>
    <s v="Inbound - Website - Media.Monks (DEPRECATED)"/>
    <s v="Votorantim, BR"/>
    <s v="15"/>
    <s v="12"/>
    <x v="3"/>
  </r>
  <r>
    <x v="113"/>
    <s v="ACC-1120"/>
    <s v="Company 119"/>
    <s v="Felipe Lima"/>
    <s v="Company 119 - DDM - Data - Services &amp; Tech - Services (Analytics &amp; Support) - 05/2026"/>
    <x v="2"/>
    <x v="1"/>
    <n v="894521"/>
    <s v="BRL"/>
    <n v="43952"/>
    <s v="BRL"/>
    <s v="DDM - Data - Services &amp; Tech - Services (Analytics &amp; Support)"/>
    <d v="2026-04-05T00:00:00"/>
    <d v="2026-11-03T00:00:00"/>
    <s v="Inbound - Website - Media.Monks (DEPRECATED)"/>
    <s v="São Carlos, BR"/>
    <s v="25"/>
    <s v="12"/>
    <x v="3"/>
  </r>
  <r>
    <x v="114"/>
    <s v="ACC-1122"/>
    <s v="Company 121"/>
    <s v="Joao Pereira"/>
    <s v="Company 121 - Content - Platform - Website Creation &amp; Production - 05/2026"/>
    <x v="2"/>
    <x v="1"/>
    <n v="374000"/>
    <s v="BRL"/>
    <n v="20000"/>
    <s v="BRL"/>
    <s v="DDM - Data - Services &amp; Tech - Services (Analytics &amp; Support)"/>
    <d v="2026-08-05T00:00:00"/>
    <d v="2026-08-04T00:00:00"/>
    <s v="Referral - Personal"/>
    <s v="São Carlos, BR"/>
    <s v="4"/>
    <s v="12"/>
    <x v="2"/>
  </r>
  <r>
    <x v="56"/>
    <s v="ACC-1128"/>
    <s v="Company 127"/>
    <s v="Felipe Lima"/>
    <s v="Company 127 - DDM - Data - Services &amp; Tech - Services (Analytics &amp; Support) - 05/2026"/>
    <x v="2"/>
    <x v="5"/>
    <n v="0"/>
    <s v="BRL"/>
    <n v="0"/>
    <s v="BRL"/>
    <s v="DDM - Data - Services &amp; Tech - Services (Analytics &amp; Support)"/>
    <d v="2026-05-13T00:00:00"/>
    <d v="2026-04-13T00:00:00"/>
    <s v="Referral - Internal"/>
    <s v="São Carlos, BR"/>
    <s v="1"/>
    <m/>
    <x v="2"/>
  </r>
  <r>
    <x v="115"/>
    <s v="ACC-1035"/>
    <s v="Copper Air"/>
    <s v="Bernardo Castro"/>
    <s v="Copper Air - DDM - Data - Services &amp; Tech - Services (Analytics &amp; Support) - 01/2026"/>
    <x v="0"/>
    <x v="2"/>
    <n v="32226.34"/>
    <s v="BRL"/>
    <n v="32226.34"/>
    <s v="BRL"/>
    <s v="DDM - Data - Services &amp; Tech - Services (Analytics &amp; Support)"/>
    <d v="2026-01-14T00:00:00"/>
    <d v="2025-08-08T00:00:00"/>
    <s v="Inbound - Current Client (DEPRECATED)"/>
    <s v="Votorantim, BR"/>
    <s v="90"/>
    <s v="2"/>
    <x v="0"/>
  </r>
  <r>
    <x v="116"/>
    <s v="ACC-1046"/>
    <s v="Cypress Air"/>
    <s v="Wanda Borges"/>
    <s v="Cypress Air - DDM - Data - Services &amp; Tech - Services (Analytics &amp; Support) - 02/2026"/>
    <x v="2"/>
    <x v="2"/>
    <n v="589446.40999999992"/>
    <s v="BRL"/>
    <n v="41309.81"/>
    <s v="BRL"/>
    <s v="DDM - Data - Services &amp; Tech - Services (Analytics &amp; Support)"/>
    <d v="2026-02-27T00:00:00"/>
    <d v="2025-11-11T00:00:00"/>
    <s v="Inbound - Marketing (DEPRECATED)"/>
    <s v="Votorantim, BR"/>
    <s v="46"/>
    <s v="12"/>
    <x v="3"/>
  </r>
  <r>
    <x v="117"/>
    <s v="ACC-1008"/>
    <s v="Dogwood Pharma"/>
    <s v="Lucas Almeida"/>
    <s v="Dogwood Pharma - DDM - Data - Services &amp; Tech - Services (Analytics &amp; Support) - 05/2026"/>
    <x v="2"/>
    <x v="3"/>
    <n v="1000704"/>
    <s v="BRL"/>
    <n v="433188"/>
    <s v="BRL"/>
    <s v="DDM - Data - Services &amp; Tech - Services (Analytics &amp; Support)"/>
    <d v="2026-04-05T00:00:00"/>
    <d v="2026-02-23T00:00:00"/>
    <s v="Prospecting - Current Client (DEPRECATED)"/>
    <s v="São Carlos, BR"/>
    <s v="50"/>
    <s v="12"/>
    <x v="0"/>
  </r>
  <r>
    <x v="117"/>
    <s v="ACC-1008"/>
    <s v="Dogwood Pharma"/>
    <s v="Lucas Almeida"/>
    <s v="Dogwood Pharma - DDM - Data - Services &amp; Tech - Services (Analytics &amp; Support) - 05/2026"/>
    <x v="2"/>
    <x v="3"/>
    <n v="1000704"/>
    <s v="BRL"/>
    <n v="567516"/>
    <s v="BRL"/>
    <s v="DDM - Data - Services &amp; Tech - Services (Analytics &amp; Support)"/>
    <d v="2026-04-05T00:00:00"/>
    <d v="2026-02-23T00:00:00"/>
    <s v="Prospecting - Current Client (DEPRECATED)"/>
    <s v="São Carlos, BR"/>
    <s v="50"/>
    <s v="12"/>
    <x v="0"/>
  </r>
  <r>
    <x v="7"/>
    <s v="ACC-1050"/>
    <s v="Dune Ecommerce"/>
    <s v="Queila Ribeiro"/>
    <s v="Dune Ecommerce - DDM - Data - Services &amp; Tech - Services (Analytics &amp; Support) - 03/2026"/>
    <x v="0"/>
    <x v="2"/>
    <n v="1818447"/>
    <s v="BRL"/>
    <n v="76079.89"/>
    <s v="BRL"/>
    <s v="DDM - Data - Services &amp; Tech - Services (Analytics &amp; Support)"/>
    <d v="2026-03-24T00:00:00"/>
    <d v="2025-12-15T00:00:00"/>
    <s v="Inbound - Current Client (DEPRECATED)"/>
    <s v="São Carlos, BR"/>
    <s v="21"/>
    <s v="8"/>
    <x v="0"/>
  </r>
  <r>
    <x v="9"/>
    <s v="ACC-1050"/>
    <s v="Dune Ecommerce"/>
    <s v="Queila Ribeiro"/>
    <s v="Dune Ecommerce - Content - Platform - Website Creation &amp; Production - 05/2026"/>
    <x v="0"/>
    <x v="3"/>
    <n v="296000"/>
    <s v="BRL"/>
    <n v="20000"/>
    <s v="BRL"/>
    <s v="DDM - Data - Services &amp; Tech - Services (Analytics &amp; Support)"/>
    <d v="2026-05-31T00:00:00"/>
    <d v="2026-03-14T00:00:00"/>
    <s v="Inbound - Current Client (DEPRECATED)"/>
    <s v="São Carlos, BR"/>
    <s v="13"/>
    <s v="6"/>
    <x v="0"/>
  </r>
  <r>
    <x v="118"/>
    <s v="ACC-1016"/>
    <s v="Elm Realty"/>
    <s v="Pedro Martins"/>
    <s v="Elm Realty - DDM - Data - Services &amp; Tech - Services (Analytics &amp; Support) - 03/2026"/>
    <x v="3"/>
    <x v="2"/>
    <n v="517703.16"/>
    <s v="BRL"/>
    <n v="96838.56"/>
    <s v="BRL"/>
    <s v="DDM - Data - Services &amp; Tech - Services (Analytics &amp; Support)"/>
    <d v="2026-03-23T00:00:00"/>
    <d v="2025-11-27T00:00:00"/>
    <s v="MH Lead (DEPRECATED)"/>
    <s v="Votorantim, BR"/>
    <s v="22"/>
    <s v="12"/>
    <x v="1"/>
  </r>
  <r>
    <x v="119"/>
    <s v="ACC-1016"/>
    <s v="Elm Realty"/>
    <s v="Pedro Martins"/>
    <s v="Elm Realty - DDM - Media - Managed Media (AOR) - 03/2026"/>
    <x v="3"/>
    <x v="2"/>
    <n v="486654.96"/>
    <s v="BRL"/>
    <n v="96850.32"/>
    <s v="BRL"/>
    <s v="DDM - Data - Services &amp; Tech - Services (Analytics &amp; Support)"/>
    <d v="2026-03-20T00:00:00"/>
    <d v="2026-03-20T00:00:00"/>
    <s v="Inbound - Current Client (DEPRECATED)"/>
    <s v="Votorantim, BR"/>
    <s v="25"/>
    <s v="12"/>
    <x v="0"/>
  </r>
  <r>
    <x v="120"/>
    <s v="ACC-1016"/>
    <s v="Elm Realty"/>
    <s v="Pedro Martins"/>
    <s v="Elm Realty - DDM - Media - Managed Media (AOR) - 03/2026"/>
    <x v="0"/>
    <x v="2"/>
    <n v="7943.76"/>
    <s v="BRL"/>
    <n v="7943.76"/>
    <s v="BRL"/>
    <s v="DDM - Data - Services &amp; Tech - Services (Analytics &amp; Support)"/>
    <d v="2026-03-20T00:00:00"/>
    <d v="2025-12-23T00:00:00"/>
    <s v="Inbound - Current Client (DEPRECATED)"/>
    <s v="Votorantim, BR"/>
    <s v="25"/>
    <s v="12"/>
    <x v="0"/>
  </r>
  <r>
    <x v="11"/>
    <s v="ACC-1022"/>
    <s v="Ember Hospitality"/>
    <s v="Sofia Guimaraes"/>
    <s v="Ember Hospitality - DDM - Data - Services &amp; Tech - Services (Analytics &amp; Support) - 04/2026"/>
    <x v="0"/>
    <x v="2"/>
    <n v="1653085.7999999998"/>
    <s v="BRL"/>
    <n v="359170.32"/>
    <s v="BRL"/>
    <s v="DDM - Data - Services &amp; Tech - Services (Analytics &amp; Support)"/>
    <d v="2026-04-13T00:00:00"/>
    <d v="2025-10-24T00:00:00"/>
    <s v="Inbound - Current Client (DEPRECATED)"/>
    <s v="São Carlos, BR"/>
    <s v="1"/>
    <s v="10"/>
    <x v="0"/>
  </r>
  <r>
    <x v="121"/>
    <s v="ACC-1014"/>
    <s v="Fern Agriculture"/>
    <s v="Lucas Almeida"/>
    <s v="Fern Agriculture - DDM - Data - Services &amp; Tech - Services (Analytics &amp; Support) - 04/2026"/>
    <x v="1"/>
    <x v="0"/>
    <n v="1410000"/>
    <s v="BRL"/>
    <n v="234000"/>
    <s v="BRL"/>
    <s v="DDM - Data - Services &amp; Tech - Services (Analytics &amp; Support)"/>
    <d v="2026-04-13T00:00:00"/>
    <d v="2026-01-16T00:00:00"/>
    <s v="Inbound - Website - Media.Monks (DEPRECATED)"/>
    <s v="Votorantim, BR"/>
    <s v="21"/>
    <s v="12"/>
    <x v="3"/>
  </r>
  <r>
    <x v="122"/>
    <s v="ACC-1102"/>
    <s v="Fjord Travel"/>
    <s v="Daniel Moura"/>
    <s v="Fjord Travel - DDM - Data - Services &amp; Tech - Services (Analytics &amp; Support) - 05/2026"/>
    <x v="0"/>
    <x v="3"/>
    <n v="585915.63"/>
    <s v="BRL"/>
    <n v="119522.87"/>
    <s v="BRL"/>
    <s v="DDM - Data - Services &amp; Tech - Services (Analytics &amp; Support)"/>
    <d v="2026-05-31T00:00:00"/>
    <d v="2026-11-03T00:00:00"/>
    <s v="Don't Know/Other (DEPRECATED)"/>
    <s v="Votorantim, BR"/>
    <s v="15"/>
    <s v="12"/>
    <x v="1"/>
  </r>
  <r>
    <x v="74"/>
    <s v="ACC-1004"/>
    <s v="Harbor Grocers"/>
    <s v="Carla Mendes"/>
    <s v="Harbor Grocers - DDM - Data - Services &amp; Tech - Services (Analytics &amp; Support) - 01/2026"/>
    <x v="0"/>
    <x v="2"/>
    <n v="358921.88"/>
    <s v="BRL"/>
    <n v="53600"/>
    <s v="BRL"/>
    <s v="DDM - Data - Services &amp; Tech - Services (Analytics &amp; Support)"/>
    <d v="2026-01-14T00:00:00"/>
    <d v="2025-04-12T00:00:00"/>
    <s v="Inbound - Current Client (DEPRECATED)"/>
    <s v="São Carlos, BR"/>
    <s v="90"/>
    <s v="12"/>
    <x v="0"/>
  </r>
  <r>
    <x v="57"/>
    <s v="ACC-1049"/>
    <s v="Hazel Construction"/>
    <s v="Bernardo Castro"/>
    <s v="Hazel Construction - Content - Social - AOR - 02/2026"/>
    <x v="3"/>
    <x v="2"/>
    <n v="1546078.56"/>
    <s v="BRL"/>
    <n v="183485.76"/>
    <s v="BRL"/>
    <s v="DDM - Data - Services &amp; Tech - Services (Analytics &amp; Support)"/>
    <d v="2026-12-03T00:00:00"/>
    <d v="2025-08-12T00:00:00"/>
    <s v="Inbound - Current Client (DEPRECATED)"/>
    <s v="São Carlos, BR"/>
    <s v="33"/>
    <s v="12"/>
    <x v="0"/>
  </r>
  <r>
    <x v="123"/>
    <s v="ACC-1005"/>
    <s v="Helios Tech"/>
    <s v="Lucas Almeida"/>
    <s v="Helios Tech - DDM - Data - Services &amp; Tech - Services (Analytics &amp; Support) - 04/2026"/>
    <x v="2"/>
    <x v="0"/>
    <n v="993642.36"/>
    <s v="BRL"/>
    <n v="57000"/>
    <s v="BRL"/>
    <s v="DDM - Data - Services &amp; Tech - Services (Analytics &amp; Support)"/>
    <d v="2026-10-04T00:00:00"/>
    <d v="2025-03-12T00:00:00"/>
    <s v="Don't Know/Other (DEPRECATED)"/>
    <s v="Votorantim, BR"/>
    <s v="21"/>
    <s v="12"/>
    <x v="1"/>
  </r>
  <r>
    <x v="124"/>
    <s v="ACC-1053"/>
    <s v="Hemlock Insurance"/>
    <s v="Bernardo Castro"/>
    <s v="Hemlock Insurance - DDM - Media - Activation - Platforms Reselling - 04/2026"/>
    <x v="0"/>
    <x v="1"/>
    <n v="3363176.34"/>
    <s v="BRL"/>
    <n v="3363176.34"/>
    <s v="BRL"/>
    <s v="DDM - Data - Services &amp; Tech - Services (Analytics &amp; Support)"/>
    <d v="2026-06-30T00:00:00"/>
    <d v="2026-12-03T00:00:00"/>
    <s v="Inbound - Current Client (DEPRECATED)"/>
    <s v="São Carlos, BR"/>
    <s v="29"/>
    <s v="12"/>
    <x v="0"/>
  </r>
  <r>
    <x v="77"/>
    <s v="ACC-1069"/>
    <s v="Honeysuckle Travel"/>
    <s v="Bruno Costa"/>
    <s v="Honeysuckle Travel - DDM - Data - Services &amp; Tech - Services (Analytics &amp; Support) - 05/2026"/>
    <x v="3"/>
    <x v="4"/>
    <n v="809225.34"/>
    <s v="BRL"/>
    <n v="109005.84"/>
    <s v="BRL"/>
    <s v="DDM - Data - Services &amp; Tech - Services (Analytics &amp; Support)"/>
    <d v="2026-05-31T00:00:00"/>
    <d v="2026-06-03T00:00:00"/>
    <s v="Inbound - Current Client (DEPRECATED)"/>
    <s v="São Carlos, BR"/>
    <s v="18"/>
    <s v="6"/>
    <x v="0"/>
  </r>
  <r>
    <x v="125"/>
    <s v="ACC-1023"/>
    <s v="Iris Delivery"/>
    <s v="Amanda Rios"/>
    <s v="Iris Delivery - Content - Platform - Performance, SEO, CRM &amp; Loyalty - 03/2026"/>
    <x v="0"/>
    <x v="0"/>
    <n v="10992.1"/>
    <s v="BRL"/>
    <n v="10992.1"/>
    <s v="BRL"/>
    <s v="DDM - Data - Services &amp; Tech - Services (Analytics &amp; Support)"/>
    <d v="2026-04-29T00:00:00"/>
    <d v="2025-09-12T00:00:00"/>
    <s v="Inbound - Current Client (DEPRECATED)"/>
    <s v="Votorantim, BR"/>
    <s v="126"/>
    <s v="1"/>
    <x v="0"/>
  </r>
  <r>
    <x v="14"/>
    <s v="ACC-1045"/>
    <s v="Jasper Security"/>
    <s v="Felipe Lima"/>
    <s v="Jasper Security - DDM - Data - Services &amp; Tech - Services (Analytics &amp; Support) - 05/2026"/>
    <x v="2"/>
    <x v="3"/>
    <n v="6208423.2000000002"/>
    <s v="BRL"/>
    <n v="412673.64"/>
    <s v="BRL"/>
    <s v="DDM - Data - Services &amp; Tech - Services (Analytics &amp; Support)"/>
    <d v="2026-05-13T00:00:00"/>
    <d v="2025-11-26T00:00:00"/>
    <s v="Referral - Internal"/>
    <s v="Votorantim, BR"/>
    <s v="64"/>
    <s v="12"/>
    <x v="2"/>
  </r>
  <r>
    <x v="15"/>
    <s v="ACC-1010"/>
    <s v="Juniper Data"/>
    <s v="Lucas Almeida"/>
    <s v="Juniper Data - DDM - Data - Services &amp; Tech - Services (Analytics &amp; Support) - 06/2026"/>
    <x v="2"/>
    <x v="3"/>
    <n v="286464"/>
    <s v="BRL"/>
    <n v="12000"/>
    <s v="BRL"/>
    <s v="DDM - Data - Services &amp; Tech - Services (Analytics &amp; Support)"/>
    <d v="2026-06-29T00:00:00"/>
    <d v="2025-03-11T00:00:00"/>
    <s v="Industry Event"/>
    <s v="São Carlos, BR"/>
    <s v="134"/>
    <s v="24"/>
    <x v="4"/>
  </r>
  <r>
    <x v="126"/>
    <s v="ACC-1066"/>
    <s v="Magnolia Retail"/>
    <s v="Carla Mendes"/>
    <s v="Magnolia Retail - DDM - Data - Services &amp; Tech - Services (Analytics &amp; Support) - 04/2026"/>
    <x v="3"/>
    <x v="0"/>
    <n v="74000"/>
    <s v="BRL"/>
    <n v="74000"/>
    <s v="BRL"/>
    <s v="DDM - Data - Services &amp; Tech - Services (Analytics &amp; Support)"/>
    <d v="2026-04-30T00:00:00"/>
    <d v="2026-03-26T00:00:00"/>
    <s v="Inbound - Current Client (DEPRECATED)"/>
    <s v="São Carlos, BR"/>
    <s v="13"/>
    <s v="6"/>
    <x v="0"/>
  </r>
  <r>
    <x v="65"/>
    <s v="ACC-1095"/>
    <s v="Nimbus Media"/>
    <s v="Yasmin Nogueira"/>
    <s v="Nimbus Media - DDM - Data - Services &amp; Tech - Services (Analytics &amp; Support) - 05/2026"/>
    <x v="2"/>
    <x v="3"/>
    <n v="2627267.83"/>
    <s v="BRL"/>
    <n v="21120.19"/>
    <s v="BRL"/>
    <s v="DDM - Data - Services &amp; Tech - Services (Analytics &amp; Support)"/>
    <d v="2026-11-05T00:00:00"/>
    <d v="2025-01-12T00:00:00"/>
    <s v="Referral - Personal"/>
    <s v="Votorantim, BR"/>
    <s v="54"/>
    <s v="12"/>
    <x v="2"/>
  </r>
  <r>
    <x v="127"/>
    <s v="ACC-1031"/>
    <s v="Nova Studios"/>
    <s v="Queila Ribeiro"/>
    <s v="Nova Studios - Content - Platform - Website Creation &amp; Production - 01/2026"/>
    <x v="3"/>
    <x v="2"/>
    <n v="4551785.4000000004"/>
    <s v="BRL"/>
    <n v="956103.36"/>
    <s v="BRL"/>
    <s v="DDM - Data - Services &amp; Tech - Services (Analytics &amp; Support)"/>
    <d v="2026-03-18T00:00:00"/>
    <d v="2025-03-10T00:00:00"/>
    <s v="Inbound - Current Client (DEPRECATED)"/>
    <s v="São Carlos, BR"/>
    <s v="27"/>
    <s v="12"/>
    <x v="0"/>
  </r>
  <r>
    <x v="127"/>
    <s v="ACC-1031"/>
    <s v="Nova Studios"/>
    <s v="Queila Ribeiro"/>
    <s v="Nova Studios - DDM - Data - Services &amp; Tech - Services (Analytics &amp; Support) - 01/2026"/>
    <x v="3"/>
    <x v="2"/>
    <n v="4551785.4000000004"/>
    <s v="BRL"/>
    <n v="804870.24"/>
    <s v="BRL"/>
    <s v="DDM - Data - Services &amp; Tech - Services (Analytics &amp; Support)"/>
    <d v="2026-03-18T00:00:00"/>
    <d v="2025-03-10T00:00:00"/>
    <s v="Inbound - Current Client (DEPRECATED)"/>
    <s v="São Carlos, BR"/>
    <s v="27"/>
    <s v="12"/>
    <x v="0"/>
  </r>
  <r>
    <x v="127"/>
    <s v="ACC-1031"/>
    <s v="Nova Studios"/>
    <s v="Queila Ribeiro"/>
    <s v="Nova Studios - DDM - Data - Services &amp; Tech - Services (Analytics &amp; Support) - 03/2026"/>
    <x v="3"/>
    <x v="2"/>
    <n v="4551785.4000000004"/>
    <s v="BRL"/>
    <n v="2790811.8"/>
    <s v="BRL"/>
    <s v="DDM - Data - Services &amp; Tech - Services (Analytics &amp; Support)"/>
    <d v="2026-03-18T00:00:00"/>
    <d v="2025-03-10T00:00:00"/>
    <s v="Inbound - Current Client (DEPRECATED)"/>
    <s v="São Carlos, BR"/>
    <s v="27"/>
    <s v="12"/>
    <x v="0"/>
  </r>
  <r>
    <x v="128"/>
    <s v="ACC-1031"/>
    <s v="Nova Studios"/>
    <s v="Queila Ribeiro"/>
    <s v="Nova Studios - DDM - Media - Managed Media (AOR) - 04/2026"/>
    <x v="3"/>
    <x v="0"/>
    <n v="4235159.34"/>
    <s v="BRL"/>
    <n v="210987.53"/>
    <s v="BRL"/>
    <s v="DDM - Data - Services &amp; Tech - Services (Analytics &amp; Support)"/>
    <d v="2026-04-17T00:00:00"/>
    <d v="2025-08-12T00:00:00"/>
    <s v="Inbound - Current Client (DEPRECATED)"/>
    <s v="São Carlos, BR"/>
    <s v="26"/>
    <s v="6"/>
    <x v="0"/>
  </r>
  <r>
    <x v="129"/>
    <s v="ACC-1031"/>
    <s v="Nova Studios"/>
    <s v="Queila Ribeiro"/>
    <s v="Nova Studios -  - 05/2026"/>
    <x v="0"/>
    <x v="2"/>
    <n v="33442.82"/>
    <s v="BRL"/>
    <n v="33442.82"/>
    <s v="BRL"/>
    <s v="DDM - Data - Services &amp; Tech - Services (Analytics &amp; Support)"/>
    <d v="2026-08-01T00:00:00"/>
    <d v="2025-08-28T00:00:00"/>
    <s v="Inbound - Current Client (DEPRECATED)"/>
    <s v="São Carlos, BR"/>
    <s v="96"/>
    <s v="1"/>
    <x v="0"/>
  </r>
  <r>
    <x v="130"/>
    <s v="ACC-1063"/>
    <s v="Saffron Fashion"/>
    <s v="Ana Silva"/>
    <s v="Saffron Fashion - DDM - Data - Services &amp; Tech - Services (Analytics &amp; Support) - 01/2026"/>
    <x v="0"/>
    <x v="2"/>
    <n v="2518147.83"/>
    <s v="BRL"/>
    <n v="466000"/>
    <s v="BRL"/>
    <s v="DDM - Data - Services &amp; Tech - Services (Analytics &amp; Support)"/>
    <d v="2026-12-01T00:00:00"/>
    <d v="2025-11-14T00:00:00"/>
    <s v="Inbound - Current Client (DEPRECATED)"/>
    <s v="São Carlos, BR"/>
    <s v="92"/>
    <s v="12"/>
    <x v="0"/>
  </r>
  <r>
    <x v="130"/>
    <s v="ACC-1063"/>
    <s v="Saffron Fashion"/>
    <s v="Ana Silva"/>
    <s v="Saffron Fashion - DDM - Data - Services &amp; Tech - Services (Analytics &amp; Support) - 01/2026"/>
    <x v="0"/>
    <x v="2"/>
    <n v="2518147.83"/>
    <s v="BRL"/>
    <n v="180000"/>
    <s v="BRL"/>
    <s v="DDM - Data - Services &amp; Tech - Services (Analytics &amp; Support)"/>
    <d v="2026-12-01T00:00:00"/>
    <d v="2025-11-14T00:00:00"/>
    <s v="Inbound - Current Client (DEPRECATED)"/>
    <s v="São Carlos, BR"/>
    <s v="92"/>
    <s v="12"/>
    <x v="0"/>
  </r>
  <r>
    <x v="28"/>
    <s v="ACC-1063"/>
    <s v="Saffron Fashion"/>
    <s v="Ana Silva"/>
    <s v="Saffron Fashion - DDM - Media - Managed Media (AOR) - 01/2026"/>
    <x v="0"/>
    <x v="2"/>
    <n v="1157087.3999999999"/>
    <s v="BRL"/>
    <n v="230265"/>
    <s v="BRL"/>
    <s v="DDM - Data - Services &amp; Tech - Services (Analytics &amp; Support)"/>
    <d v="2026-05-01T00:00:00"/>
    <d v="2025-09-25T00:00:00"/>
    <s v="Inbound - Current Client (DEPRECATED)"/>
    <s v="São Carlos, BR"/>
    <s v="99"/>
    <s v="12"/>
    <x v="0"/>
  </r>
  <r>
    <x v="29"/>
    <s v="ACC-1063"/>
    <s v="Saffron Fashion"/>
    <s v="Ana Silva"/>
    <s v="Saffron Fashion - DDM - Media - Creative - 01/2026"/>
    <x v="3"/>
    <x v="2"/>
    <n v="6770269.9100000001"/>
    <s v="BRL"/>
    <n v="1144634.99"/>
    <s v="BRL"/>
    <s v="DDM - Data - Services &amp; Tech - Services (Analytics &amp; Support)"/>
    <d v="2026-01-27T00:00:00"/>
    <d v="2025-12-15T00:00:00"/>
    <s v="Inbound - Current Client (DEPRECATED)"/>
    <s v="São Carlos, BR"/>
    <s v="77"/>
    <s v="12"/>
    <x v="0"/>
  </r>
  <r>
    <x v="131"/>
    <s v="ACC-1063"/>
    <s v="Saffron Fashion"/>
    <s v="Ana Silva"/>
    <s v="Saffron Fashion - DDM - Media - Managed Media (AOR) - 03/2026"/>
    <x v="0"/>
    <x v="2"/>
    <n v="722935.92"/>
    <s v="BRL"/>
    <n v="115132.8"/>
    <s v="BRL"/>
    <s v="DDM - Data - Services &amp; Tech - Services (Analytics &amp; Support)"/>
    <d v="2026-05-01T00:00:00"/>
    <d v="2025-10-29T00:00:00"/>
    <s v="Inbound - Current Client (DEPRECATED)"/>
    <s v="São Carlos, BR"/>
    <s v="99"/>
    <s v="12"/>
    <x v="0"/>
  </r>
  <r>
    <x v="132"/>
    <s v="ACC-1063"/>
    <s v="Saffron Fashion"/>
    <s v="Ana Silva"/>
    <s v="Saffron Fashion - DDM - Data - Services &amp; Tech - Services (Analytics &amp; Support) - 06/2026"/>
    <x v="0"/>
    <x v="6"/>
    <n v="0"/>
    <s v="BRL"/>
    <n v="0"/>
    <s v="BRL"/>
    <s v="DDM - Data - Services &amp; Tech - Services (Analytics &amp; Support)"/>
    <d v="2026-06-30T00:00:00"/>
    <d v="2026-09-04T00:00:00"/>
    <s v="MH Lead (DEPRECATED)"/>
    <s v="São Carlos, BR"/>
    <s v="5"/>
    <s v="12"/>
    <x v="1"/>
  </r>
  <r>
    <x v="133"/>
    <s v="ACC-1038"/>
    <s v="Sumac Telecom"/>
    <s v="Pedro Martins"/>
    <s v="Sumac Telecom - DDM - Data - Services &amp; Tech - Services (Analytics &amp; Support) - 03/2026"/>
    <x v="3"/>
    <x v="2"/>
    <n v="1758176.04"/>
    <s v="BRL"/>
    <n v="194700"/>
    <s v="BRL"/>
    <s v="DDM - Data - Services &amp; Tech - Services (Analytics &amp; Support)"/>
    <d v="2026-09-03T00:00:00"/>
    <d v="2025-09-10T00:00:00"/>
    <s v="Inbound - Current Client (DEPRECATED)"/>
    <s v="Votorantim, BR"/>
    <s v="36"/>
    <s v="12"/>
    <x v="0"/>
  </r>
  <r>
    <x v="90"/>
    <s v="ACC-1074"/>
    <s v="Tamarind Bank"/>
    <s v="Wanda Borges"/>
    <s v="Tamarind Bank - DDM - Data - Services &amp; Tech - Services (Analytics &amp; Support) - 05/2026"/>
    <x v="2"/>
    <x v="1"/>
    <n v="863424.8"/>
    <s v="BRL"/>
    <n v="376021.9"/>
    <s v="BRL"/>
    <s v="DDM - Data - Services &amp; Tech - Services (Analytics &amp; Support)"/>
    <d v="2026-01-05T00:00:00"/>
    <d v="2026-11-02T00:00:00"/>
    <s v="Prospecting - Current Client (DEPRECATED)"/>
    <s v="São Carlos, BR"/>
    <s v="55"/>
    <s v="10"/>
    <x v="0"/>
  </r>
  <r>
    <x v="134"/>
    <s v="ACC-1019"/>
    <s v="Thistle Tech"/>
    <s v="Amanda Rios"/>
    <s v="Thistle Tech - DDM - Data - Services &amp; Tech - Services (Analytics &amp; Support) - 01/2026"/>
    <x v="0"/>
    <x v="6"/>
    <n v="2163037.2000000002"/>
    <s v="BRL"/>
    <n v="2163037.2000000002"/>
    <s v="BRL"/>
    <s v="DDM - Data - Services &amp; Tech - Services (Analytics &amp; Support)"/>
    <d v="2026-06-30T00:00:00"/>
    <d v="2026-10-04T00:00:00"/>
    <s v="MH Lead (DEPRECATED)"/>
    <s v="São Carlos, BR"/>
    <s v="4"/>
    <s v="12"/>
    <x v="1"/>
  </r>
  <r>
    <x v="135"/>
    <s v="ACC-1019"/>
    <s v="Thistle Tech"/>
    <s v="Amanda Rios"/>
    <s v="Thistle Tech - DDM - Data - Services &amp; Tech - Services (Analytics &amp; Support) - 01/2026"/>
    <x v="0"/>
    <x v="2"/>
    <n v="294537.34999999998"/>
    <s v="BRL"/>
    <n v="294537.34999999998"/>
    <s v="BRL"/>
    <s v="DDM - Data - Services &amp; Tech - Services (Analytics &amp; Support)"/>
    <d v="2026-01-30T00:00:00"/>
    <d v="2025-11-28T00:00:00"/>
    <s v="Inbound - Current Client (DEPRECATED)"/>
    <s v="São Carlos, BR"/>
    <s v="74"/>
    <s v="5"/>
    <x v="0"/>
  </r>
  <r>
    <x v="136"/>
    <s v="ACC-1019"/>
    <s v="Thistle Tech"/>
    <s v="Amanda Rios"/>
    <s v="Thistle Tech - DDM - Data - Services &amp; Tech - Services (Analytics &amp; Support) - 06/2026"/>
    <x v="0"/>
    <x v="2"/>
    <n v="38183.32"/>
    <s v="BRL"/>
    <n v="38183.32"/>
    <s v="BRL"/>
    <s v="DDM - Data - Services &amp; Tech - Services (Analytics &amp; Support)"/>
    <d v="2026-01-30T00:00:00"/>
    <d v="2025-05-12T00:00:00"/>
    <s v="Inbound - Current Client (DEPRECATED)"/>
    <s v="São Carlos, BR"/>
    <s v="74"/>
    <s v="2"/>
    <x v="0"/>
  </r>
  <r>
    <x v="32"/>
    <s v="ACC-1111"/>
    <s v="Walnut Manufacturing"/>
    <s v="Wanda Borges"/>
    <s v="Walnut Manufacturing - DDM - Data - Services &amp; Tech - Services (Analytics &amp; Support) - 05/2026"/>
    <x v="2"/>
    <x v="1"/>
    <n v="2133050.04"/>
    <s v="BRL"/>
    <n v="189158.04"/>
    <s v="BRL"/>
    <s v="DDM - Data - Services &amp; Tech - Services (Analytics &amp; Support)"/>
    <d v="2026-05-29T00:00:00"/>
    <d v="2026-03-03T00:00:00"/>
    <s v="Inbound - Website - Media.Monks (DEPRECATED)"/>
    <s v="Votorantim, BR"/>
    <s v="15"/>
    <s v="12"/>
    <x v="3"/>
  </r>
  <r>
    <x v="137"/>
    <s v="ACC-1039"/>
    <s v="Xerus Mobility"/>
    <s v="Daniel Moura"/>
    <s v="Xerus Mobility - DDM - Data - Services &amp; Tech - Services (Analytics &amp; Support) - 05/2026"/>
    <x v="0"/>
    <x v="1"/>
    <n v="254376.21"/>
    <s v="BRL"/>
    <n v="254376.21"/>
    <s v="BRL"/>
    <s v="DDM - Data - Services &amp; Tech - Services (Analytics &amp; Support)"/>
    <d v="2026-05-31T00:00:00"/>
    <d v="2026-02-19T00:00:00"/>
    <s v="Inbound - Current Client (DEPRECATED)"/>
    <s v="Votorantim, BR"/>
    <s v="33"/>
    <s v="6"/>
    <x v="0"/>
  </r>
  <r>
    <x v="86"/>
    <s v="ACC-1044"/>
    <s v="Yerba Studios"/>
    <s v="Carla Mendes"/>
    <s v="Yerba Studios - DDM - Data - Services &amp; Tech - Services (Analytics &amp; Support) - 01/2026"/>
    <x v="3"/>
    <x v="2"/>
    <n v="760000"/>
    <s v="BRL"/>
    <n v="64000"/>
    <s v="BRL"/>
    <s v="DDM - Data - Services &amp; Tech - Services (Analytics &amp; Support)"/>
    <d v="2026-01-27T00:00:00"/>
    <d v="2025-11-26T00:00:00"/>
    <s v="Inbound - Current Client (DEPRECATED)"/>
    <s v="São Carlos, BR"/>
    <s v="77"/>
    <s v="12"/>
    <x v="0"/>
  </r>
  <r>
    <x v="98"/>
    <s v="ACC-1106"/>
    <s v="Yucca Farms"/>
    <s v="Joao Pereira"/>
    <s v="Yucca Farms - DDM - Data - Services &amp; Tech - Services (Analytics &amp; Support) - 03/2026"/>
    <x v="2"/>
    <x v="2"/>
    <n v="195525"/>
    <s v="BRL"/>
    <n v="61020"/>
    <s v="BRL"/>
    <s v="DDM - Data - Services &amp; Tech - Services (Analytics &amp; Support)"/>
    <d v="2026-03-31T00:00:00"/>
    <d v="2025-11-26T00:00:00"/>
    <s v="Referral - Personal"/>
    <s v="Votorantim, BR"/>
    <s v="14"/>
    <s v="3"/>
    <x v="2"/>
  </r>
  <r>
    <x v="37"/>
    <s v="ACC-1085"/>
    <s v="Yumberry Mobile"/>
    <s v="Felipe Lima"/>
    <s v="Yumberry Mobile - DDM - Data - Services &amp; Tech - Services (Analytics &amp; Support) - 05/2026"/>
    <x v="2"/>
    <x v="3"/>
    <n v="835250.32000000007"/>
    <s v="BRL"/>
    <n v="41122"/>
    <s v="BRL"/>
    <s v="DDM - Data - Services &amp; Tech - Services (Analytics &amp; Support)"/>
    <d v="2026-05-13T00:00:00"/>
    <d v="2026-11-03T00:00:00"/>
    <s v="Referral - Internal"/>
    <s v="São Carlos, BR"/>
    <s v="25"/>
    <s v="12"/>
    <x v="2"/>
  </r>
  <r>
    <x v="38"/>
    <s v="ACC-1029"/>
    <s v="Zephyr Telecom"/>
    <s v="Ana Silva"/>
    <s v="Zephyr Telecom - DDM - Media - Managed Media (AOR) - 03/2026"/>
    <x v="3"/>
    <x v="2"/>
    <n v="4260383.32"/>
    <s v="BRL"/>
    <n v="432000"/>
    <s v="BRL"/>
    <s v="DDM - Data - Services &amp; Tech - Services (Analytics &amp; Support)"/>
    <d v="2026-09-03T00:00:00"/>
    <d v="2025-11-14T00:00:00"/>
    <s v="Inbound - Current Client (DEPRECATED)"/>
    <s v="São Carlos, BR"/>
    <s v="36"/>
    <s v="12"/>
    <x v="0"/>
  </r>
  <r>
    <x v="39"/>
    <s v="ACC-1029"/>
    <s v="Zephyr Telecom"/>
    <s v="Ana Silva"/>
    <s v="Zephyr Telecom - DDM - Media - Managed Media (AOR) - 02/2026"/>
    <x v="3"/>
    <x v="2"/>
    <n v="3785206.2099999995"/>
    <s v="BRL"/>
    <n v="746108.88"/>
    <s v="BRL"/>
    <s v="DDM - Data - Services &amp; Tech - Services (Analytics &amp; Support)"/>
    <d v="2026-02-13T00:00:00"/>
    <d v="2025-11-14T00:00:00"/>
    <s v="Inbound - Current Client (DEPRECATED)"/>
    <s v="São Carlos, BR"/>
    <s v="60"/>
    <s v="12"/>
    <x v="0"/>
  </r>
  <r>
    <x v="138"/>
    <s v="ACC-1029"/>
    <s v="Zephyr Telecom"/>
    <s v="Ana Silva"/>
    <s v="Zephyr Telecom - DDM - Data - Services &amp; Tech - Services (Analytics &amp; Support) - 03/2026"/>
    <x v="3"/>
    <x v="2"/>
    <n v="490082.16"/>
    <s v="BRL"/>
    <n v="144000"/>
    <s v="BRL"/>
    <s v="DDM - Data - Services &amp; Tech - Services (Analytics &amp; Support)"/>
    <d v="2026-11-03T00:00:00"/>
    <d v="2025-02-12T00:00:00"/>
    <s v="Inbound - Current Client (DEPRECATED)"/>
    <s v="São Carlos, BR"/>
    <s v="34"/>
    <s v="12"/>
    <x v="0"/>
  </r>
  <r>
    <x v="139"/>
    <s v="ACC-1029"/>
    <s v="Zephyr Telecom"/>
    <s v="Ana Silva"/>
    <s v="Zephyr Telecom - DDM - Media - Managed Media (AOR) - 02/2026"/>
    <x v="3"/>
    <x v="0"/>
    <n v="709465.68"/>
    <s v="BRL"/>
    <n v="144000"/>
    <s v="BRL"/>
    <s v="DDM - Data - Services &amp; Tech - Services (Analytics &amp; Support)"/>
    <d v="2026-04-30T00:00:00"/>
    <d v="2026-12-03T00:00:00"/>
    <s v="Inbound - Current Client (DEPRECATED)"/>
    <s v="São Carlos, BR"/>
    <s v="28"/>
    <s v="12"/>
    <x v="0"/>
  </r>
  <r>
    <x v="140"/>
    <s v="ACC-1029"/>
    <s v="Zephyr Telecom"/>
    <s v="Ana Silva"/>
    <s v="Zephyr Telecom - DDM - Data - Services &amp; Tech - Services (Analytics &amp; Support) - 04/2026"/>
    <x v="0"/>
    <x v="2"/>
    <n v="64258.47"/>
    <s v="BRL"/>
    <n v="64258.47"/>
    <s v="BRL"/>
    <s v="DDM - Data - Services &amp; Tech - Services (Analytics &amp; Support)"/>
    <d v="2026-01-21T00:00:00"/>
    <d v="2025-08-21T00:00:00"/>
    <s v="Inbound - Current Client (DEPRECATED)"/>
    <s v="São Carlos, BR"/>
    <s v="83"/>
    <s v="1"/>
    <x v="0"/>
  </r>
  <r>
    <x v="141"/>
    <s v="ACC-1029"/>
    <s v="Zephyr Telecom"/>
    <s v="Ana Silva"/>
    <s v="Zephyr Telecom - Content - Platform - Performance, SEO, CRM &amp; Loyalty - 06/2026"/>
    <x v="0"/>
    <x v="0"/>
    <n v="10"/>
    <s v="BRL"/>
    <n v="10"/>
    <s v="BRL"/>
    <s v="DDM - Data - Services &amp; Tech - Services (Analytics &amp; Support)"/>
    <d v="2026-04-30T00:00:00"/>
    <d v="2026-08-01T00:00:00"/>
    <s v="Inbound - Current Client (DEPRECATED)"/>
    <s v="São Carlos, BR"/>
    <s v="61"/>
    <s v="1"/>
    <x v="0"/>
  </r>
  <r>
    <x v="142"/>
    <s v="ACC-1015"/>
    <s v="Zinnia Apparel"/>
    <s v="Ana Silva"/>
    <s v="Zinnia Apparel - DDM - Data - Services &amp; Tech - Services (Analytics &amp; Support) - 03/2026"/>
    <x v="3"/>
    <x v="2"/>
    <n v="2706200.27"/>
    <s v="BRL"/>
    <n v="573365.34"/>
    <s v="BRL"/>
    <s v="DDM - Data - Services &amp; Tech - Services (Analytics &amp; Support)"/>
    <d v="2026-03-31T00:00:00"/>
    <d v="2025-08-22T00:00:00"/>
    <s v="Inbound - Current Client (DEPRECATED)"/>
    <s v="São Carlos, BR"/>
    <s v="14"/>
    <s v="12"/>
    <x v="0"/>
  </r>
  <r>
    <x v="143"/>
    <s v="ACC-1064"/>
    <s v="Arrow Construction"/>
    <s v="Daniel Moura"/>
    <s v="Arrow Construction - Content - Platform - Performance, SEO, CRM &amp; Loyalty - 05/2026"/>
    <x v="0"/>
    <x v="0"/>
    <n v="235251.12000000002"/>
    <s v="BRL"/>
    <n v="47991.23"/>
    <s v="BRL"/>
    <s v="DDM - Data - Services &amp; Tech - Services (Data Science/Data Eng.)"/>
    <d v="2026-05-31T00:00:00"/>
    <d v="2025-11-28T00:00:00"/>
    <s v="Inbound - Current Client (DEPRECATED)"/>
    <s v="Votorantim, BR"/>
    <s v="69"/>
    <s v="12"/>
    <x v="0"/>
  </r>
  <r>
    <x v="144"/>
    <s v="ACC-1107"/>
    <s v="Cobalt SaaS"/>
    <s v="Xavier Correia"/>
    <s v="Cobalt SaaS - DDM - Data - Services &amp; Tech - Services (Data Science/Data Eng.) - 01/2026"/>
    <x v="1"/>
    <x v="2"/>
    <n v="120000"/>
    <s v="BRL"/>
    <n v="120000"/>
    <s v="BRL"/>
    <s v="DDM - Data - Services &amp; Tech - Services (Data Science/Data Eng.)"/>
    <d v="2026-01-14T00:00:00"/>
    <d v="2025-12-22T00:00:00"/>
    <s v="Referral - Personal"/>
    <s v="São Carlos, BR"/>
    <s v="90"/>
    <s v="12"/>
    <x v="2"/>
  </r>
  <r>
    <x v="4"/>
    <s v="ACC-1112"/>
    <s v="Company 111"/>
    <s v="Xavier Correia"/>
    <s v="Company 111 - DDM - Data - Services &amp; Tech - Services (Data Science/Data Eng.) - 02/2026"/>
    <x v="2"/>
    <x v="2"/>
    <n v="4293965.2399999993"/>
    <s v="BRL"/>
    <n v="631584"/>
    <s v="BRL"/>
    <s v="DDM - Data - Services &amp; Tech - Services (Data Science/Data Eng.)"/>
    <d v="2026-02-27T00:00:00"/>
    <d v="2026-01-20T00:00:00"/>
    <s v="Referral - S4 Company"/>
    <s v="São Carlos, BR"/>
    <s v="46"/>
    <s v="12"/>
    <x v="2"/>
  </r>
  <r>
    <x v="14"/>
    <s v="ACC-1045"/>
    <s v="Jasper Security"/>
    <s v="Felipe Lima"/>
    <s v="Jasper Security - DDM - Data - Services &amp; Tech - Services (Data Science/Data Eng.) - 05/2026"/>
    <x v="2"/>
    <x v="3"/>
    <n v="6208423.2000000002"/>
    <s v="BRL"/>
    <n v="419838.24"/>
    <s v="BRL"/>
    <s v="DDM - Data - Services &amp; Tech - Services (Data Science/Data Eng.)"/>
    <d v="2026-05-13T00:00:00"/>
    <d v="2025-11-26T00:00:00"/>
    <s v="Referral - Internal"/>
    <s v="Votorantim, BR"/>
    <s v="64"/>
    <s v="12"/>
    <x v="2"/>
  </r>
  <r>
    <x v="145"/>
    <s v="ACC-1070"/>
    <s v="Quinoa Foods"/>
    <s v="Wanda Borges"/>
    <s v="Quinoa Foods - DDM - Media - Managed Media (AOR) - 01/2026"/>
    <x v="2"/>
    <x v="0"/>
    <n v="1184791"/>
    <s v="BRL"/>
    <n v="406820"/>
    <s v="BRL"/>
    <s v="DDM - Data - Services &amp; Tech - Services (Data Science/Data Eng.)"/>
    <d v="2026-04-24T00:00:00"/>
    <d v="2026-02-18T00:00:00"/>
    <s v="Referral - S4 Company"/>
    <s v="São Paulo, BR"/>
    <s v="26"/>
    <s v="10"/>
    <x v="2"/>
  </r>
  <r>
    <x v="89"/>
    <s v="ACC-1070"/>
    <s v="Quinoa Foods"/>
    <s v="Wanda Borges"/>
    <s v="Quinoa Foods - DDM - Data - Services &amp; Tech - Services (Data Science/Data Eng.) - 04/2026"/>
    <x v="2"/>
    <x v="2"/>
    <n v="1014586.08"/>
    <s v="BRL"/>
    <n v="255745.08"/>
    <s v="BRL"/>
    <s v="DDM - Data - Services &amp; Tech - Services (Data Science/Data Eng.)"/>
    <d v="2026-06-01T00:00:00"/>
    <d v="2025-10-27T00:00:00"/>
    <s v="Prospecting - Current Client (DEPRECATED)"/>
    <s v="São Paulo, BR"/>
    <s v="98"/>
    <s v="6"/>
    <x v="0"/>
  </r>
  <r>
    <x v="82"/>
    <s v="ACC-1036"/>
    <s v="Rowan Energy"/>
    <s v="Pedro Martins"/>
    <s v="Rowan Energy - DDM - Commerce - Content - 03/2026"/>
    <x v="0"/>
    <x v="2"/>
    <n v="274209.96999999997"/>
    <s v="BRL"/>
    <n v="33179.410000000003"/>
    <s v="BRL"/>
    <s v="DDM - Data - Services &amp; Tech - Services (Data Science/Data Eng.)"/>
    <d v="2026-05-03T00:00:00"/>
    <d v="2026-05-03T00:00:00"/>
    <s v="Inbound - Current Client (DEPRECATED)"/>
    <s v="Votorantim, BR"/>
    <s v="40"/>
    <s v="1"/>
    <x v="0"/>
  </r>
  <r>
    <x v="146"/>
    <s v="ACC-1036"/>
    <s v="Rowan Energy"/>
    <s v="Pedro Martins"/>
    <s v="Rowan Energy - DDM - Data - Services &amp; Tech - Services (Data Science/Data Eng.) - 03/2026"/>
    <x v="0"/>
    <x v="1"/>
    <n v="47800.800000000003"/>
    <s v="BRL"/>
    <n v="47800.800000000003"/>
    <s v="BRL"/>
    <s v="DDM - Data - Services &amp; Tech - Services (Data Science/Data Eng.)"/>
    <d v="2026-05-31T00:00:00"/>
    <d v="2025-09-17T00:00:00"/>
    <s v="Inbound - Current Client (DEPRECATED)"/>
    <s v="Votorantim, BR"/>
    <s v="148"/>
    <s v="6"/>
    <x v="0"/>
  </r>
  <r>
    <x v="147"/>
    <s v="ACC-1034"/>
    <s v="Ume Insurance"/>
    <s v="Xavier Correia"/>
    <s v="Ume Insurance - DDM - Data - Services &amp; Tech - Services (Data Science/Data Eng.) - 05/2026"/>
    <x v="2"/>
    <x v="4"/>
    <n v="1528601.1600000001"/>
    <s v="BRL"/>
    <n v="567936"/>
    <s v="BRL"/>
    <s v="DDM - Data - Services &amp; Tech - Services (Data Science/Data Eng.)"/>
    <d v="2026-05-31T00:00:00"/>
    <d v="2026-03-20T00:00:00"/>
    <s v="Inbound - Website - Media.Monks (DEPRECATED)"/>
    <s v="São Carlos, BR"/>
    <s v="4"/>
    <s v="12"/>
    <x v="3"/>
  </r>
  <r>
    <x v="148"/>
    <s v="ACC-1037"/>
    <s v="Acacia Telecom"/>
    <s v="Bruno Costa"/>
    <s v="Acacia Telecom - DDM - Data - Services &amp; Tech - Services (Analytics &amp; Support) - 04/2026"/>
    <x v="0"/>
    <x v="4"/>
    <n v="270000"/>
    <s v="BRL"/>
    <n v="270000"/>
    <s v="BRL"/>
    <s v="DDM - Media - Activation - Platforms Reselling"/>
    <d v="2026-07-31T00:00:00"/>
    <d v="2026-03-13T00:00:00"/>
    <s v="Inbound - Current Client (DEPRECATED)"/>
    <s v="São Paulo, BR"/>
    <s v="12"/>
    <s v="12"/>
    <x v="0"/>
  </r>
  <r>
    <x v="149"/>
    <s v="ACC-1117"/>
    <s v="Company 116"/>
    <s v="Felipe Lima"/>
    <s v="Company 116 - DDM - Media - Activation - Platforms Reselling - 06/2026"/>
    <x v="2"/>
    <x v="4"/>
    <n v="216000"/>
    <s v="BRL"/>
    <n v="216000"/>
    <s v="BRL"/>
    <s v="DDM - Media - Activation - Platforms Reselling"/>
    <d v="2026-01-06T00:00:00"/>
    <d v="2026-02-27T00:00:00"/>
    <s v="Referral - Internal"/>
    <s v="São Paulo, BR"/>
    <s v="29"/>
    <s v="12"/>
    <x v="2"/>
  </r>
  <r>
    <x v="150"/>
    <s v="ACC-1118"/>
    <s v="Company 117"/>
    <s v="Nicolas Teixeira"/>
    <s v="Company 117 - DDM - Media - Activation - Platforms Reselling - 03/2026"/>
    <x v="1"/>
    <x v="2"/>
    <n v="84000"/>
    <s v="BRL"/>
    <n v="84000"/>
    <s v="BRL"/>
    <s v="DDM - Media - Activation - Platforms Reselling"/>
    <d v="2026-10-03T00:00:00"/>
    <d v="2026-02-27T00:00:00"/>
    <s v="Referral - Internal"/>
    <s v="São Paulo, BR"/>
    <s v="35"/>
    <s v="12"/>
    <x v="2"/>
  </r>
  <r>
    <x v="151"/>
    <s v="ACC-1012"/>
    <s v="Dill Delivery"/>
    <s v="Carla Mendes"/>
    <s v="Dill Delivery - DDM - Media - Activation - Platforms Reselling - 01/2026"/>
    <x v="3"/>
    <x v="2"/>
    <n v="667166.55000000005"/>
    <s v="BRL"/>
    <n v="667166.55000000005"/>
    <s v="BRL"/>
    <s v="DDM - Media - Activation - Platforms Reselling"/>
    <d v="2026-01-29T00:00:00"/>
    <d v="2025-10-11T00:00:00"/>
    <s v="Inbound - Current Client (DEPRECATED)"/>
    <s v="São Paulo, BR"/>
    <s v="75"/>
    <s v="12"/>
    <x v="0"/>
  </r>
  <r>
    <x v="152"/>
    <s v="ACC-1050"/>
    <s v="Dune Ecommerce"/>
    <s v="Queila Ribeiro"/>
    <s v="Dune Ecommerce - DDM - Media - Activation - Platforms Reselling - 06/2026"/>
    <x v="3"/>
    <x v="0"/>
    <n v="3480000"/>
    <s v="BRL"/>
    <n v="1800000"/>
    <s v="BRL"/>
    <s v="DDM - Media - Activation - Platforms Reselling"/>
    <d v="2026-06-30T00:00:00"/>
    <d v="2026-01-04T00:00:00"/>
    <s v="Existing Client - Account/Growth Activity"/>
    <s v="São Paulo, BR"/>
    <s v="12"/>
    <s v="12"/>
    <x v="0"/>
  </r>
  <r>
    <x v="152"/>
    <s v="ACC-1050"/>
    <s v="Dune Ecommerce"/>
    <s v="Queila Ribeiro"/>
    <s v="Dune Ecommerce - DDM - Media - Activation - Platforms Reselling - 06/2026"/>
    <x v="3"/>
    <x v="0"/>
    <n v="3480000"/>
    <s v="BRL"/>
    <n v="1680000"/>
    <s v="BRL"/>
    <s v="DDM - Media - Activation - Platforms Reselling"/>
    <d v="2026-06-30T00:00:00"/>
    <d v="2026-01-04T00:00:00"/>
    <s v="Existing Client - Account/Growth Activity"/>
    <s v="São Paulo, BR"/>
    <s v="12"/>
    <s v="12"/>
    <x v="0"/>
  </r>
  <r>
    <x v="153"/>
    <s v="ACC-1053"/>
    <s v="Hemlock Insurance"/>
    <s v="Bernardo Castro"/>
    <s v="Hemlock Insurance - Content - Platform - Performance, SEO, CRM &amp; Loyalty - 05/2026"/>
    <x v="0"/>
    <x v="3"/>
    <n v="151200"/>
    <s v="BRL"/>
    <n v="151200"/>
    <s v="BRL"/>
    <s v="DDM - Media - Activation - Platforms Reselling"/>
    <d v="2026-04-30T00:00:00"/>
    <d v="2026-01-22T00:00:00"/>
    <s v="Inbound - Current Client (DEPRECATED)"/>
    <s v="São Paulo, BR"/>
    <s v="15"/>
    <s v="12"/>
    <x v="0"/>
  </r>
  <r>
    <x v="154"/>
    <s v="ACC-1003"/>
    <s v="Ibis Mobility"/>
    <s v="Bruno Costa"/>
    <s v="Ibis Mobility - DDM - Media - Activation - Platforms Reselling - 05/2026"/>
    <x v="0"/>
    <x v="1"/>
    <n v="100000"/>
    <s v="BRL"/>
    <n v="100000"/>
    <s v="BRL"/>
    <s v="DDM - Media - Activation - Platforms Reselling"/>
    <d v="2026-05-31T00:00:00"/>
    <d v="2026-03-27T00:00:00"/>
    <s v="Inbound - Current Client (DEPRECATED)"/>
    <s v="São Paulo, BR"/>
    <s v="12"/>
    <s v="12"/>
    <x v="0"/>
  </r>
  <r>
    <x v="155"/>
    <s v="ACC-1108"/>
    <s v="Jojoba Cosmetics"/>
    <s v="Wanda Borges"/>
    <s v="Jojoba Cosmetics - DDM - Media - Activation - Platforms Reselling - 01/2026"/>
    <x v="2"/>
    <x v="2"/>
    <n v="85000"/>
    <s v="BRL"/>
    <n v="85000"/>
    <s v="BRL"/>
    <s v="DDM - Media - Activation - Platforms Reselling"/>
    <d v="2026-01-19T00:00:00"/>
    <d v="2025-05-30T00:00:00"/>
    <s v="Referral - Partner - Google Marketing Platform"/>
    <s v="São Paulo, BR"/>
    <s v="85"/>
    <s v="12"/>
    <x v="2"/>
  </r>
  <r>
    <x v="156"/>
    <s v="ACC-1104"/>
    <s v="Juno Health"/>
    <s v="Diego Rocha"/>
    <s v="Juno Health - DDM - Media - Activation - Platforms Reselling - 04/2026"/>
    <x v="1"/>
    <x v="0"/>
    <n v="42000"/>
    <s v="BRL"/>
    <n v="42000"/>
    <s v="BRL"/>
    <s v="DDM - Media - Activation - Platforms Reselling"/>
    <d v="2026-04-13T00:00:00"/>
    <d v="2026-01-04T00:00:00"/>
    <s v="Referral - Internal"/>
    <s v="São Carlos, BR"/>
    <s v="12"/>
    <s v="12"/>
    <x v="2"/>
  </r>
  <r>
    <x v="157"/>
    <s v="ACC-1031"/>
    <s v="Nova Studios"/>
    <s v="Queila Ribeiro"/>
    <s v="Nova Studios - DDM - Commerce - Content - 05/2026"/>
    <x v="3"/>
    <x v="0"/>
    <n v="500000"/>
    <s v="BRL"/>
    <n v="185000"/>
    <s v="BRL"/>
    <s v="DDM - Media - Activation - Platforms Reselling"/>
    <d v="2026-04-30T00:00:00"/>
    <d v="2026-01-30T00:00:00"/>
    <s v="Inbound - Current Client (DEPRECATED)"/>
    <s v="São Paulo, BR"/>
    <s v="7"/>
    <s v="12"/>
    <x v="0"/>
  </r>
  <r>
    <x v="157"/>
    <s v="ACC-1031"/>
    <s v="Nova Studios"/>
    <s v="Queila Ribeiro"/>
    <s v="Nova Studios - DDM - Media - Activation - Platforms Reselling - 04/2026"/>
    <x v="3"/>
    <x v="0"/>
    <n v="500000"/>
    <s v="BRL"/>
    <n v="315000"/>
    <s v="BRL"/>
    <s v="DDM - Media - Activation - Platforms Reselling"/>
    <d v="2026-04-30T00:00:00"/>
    <d v="2026-01-30T00:00:00"/>
    <s v="Inbound - Current Client (DEPRECATED)"/>
    <s v="São Paulo, BR"/>
    <s v="7"/>
    <s v="12"/>
    <x v="0"/>
  </r>
  <r>
    <x v="158"/>
    <s v="ACC-1055"/>
    <s v="Olive Hospitality"/>
    <s v="Xavier Correia"/>
    <s v="Olive Hospitality - DDM - Media - Activation - Platforms Reselling - 04/2026"/>
    <x v="1"/>
    <x v="3"/>
    <n v="362880"/>
    <s v="BRL"/>
    <n v="48000"/>
    <s v="BRL"/>
    <s v="DDM - Media - Activation - Platforms Reselling"/>
    <d v="2026-04-30T00:00:00"/>
    <d v="2026-06-02T00:00:00"/>
    <s v="Referral - Partner - Google Cloud"/>
    <s v="São Carlos, BR"/>
    <s v="36"/>
    <s v="12"/>
    <x v="2"/>
  </r>
  <r>
    <x v="159"/>
    <s v="ACC-1047"/>
    <s v="Oregano Air"/>
    <s v="Nicolas Teixeira"/>
    <s v="Oregano Air - DDM - Media - Activation - Platforms Reselling - 05/2026"/>
    <x v="1"/>
    <x v="4"/>
    <n v="31256.14"/>
    <s v="BRL"/>
    <n v="21000"/>
    <s v="BRL"/>
    <s v="DDM - Media - Activation - Platforms Reselling"/>
    <d v="2026-05-29T00:00:00"/>
    <d v="2026-03-20T00:00:00"/>
    <s v="Inbound - Website - Media.Monks (DEPRECATED)"/>
    <s v="São Carlos, BR"/>
    <s v="4"/>
    <s v="12"/>
    <x v="3"/>
  </r>
  <r>
    <x v="160"/>
    <s v="ACC-1082"/>
    <s v="Thyme SaaS"/>
    <s v="Xavier Correia"/>
    <s v="Thyme SaaS - DDM - Media - Activation - Platforms Reselling - 04/2026"/>
    <x v="2"/>
    <x v="1"/>
    <n v="1887511.68"/>
    <s v="BRL"/>
    <n v="1887511.68"/>
    <s v="BRL"/>
    <s v="DDM - Media - Activation - Platforms Reselling"/>
    <d v="2026-04-29T00:00:00"/>
    <d v="2026-03-30T00:00:00"/>
    <s v="MH Lead (DEPRECATED)"/>
    <s v="São Carlos, BR"/>
    <s v="8"/>
    <s v="12"/>
    <x v="1"/>
  </r>
  <r>
    <x v="161"/>
    <s v="ACC-1024"/>
    <s v="Topaz Publishing"/>
    <s v="Carla Mendes"/>
    <s v="Topaz Publishing - DDM - Media - Activation - Platforms Reselling - 01/2026"/>
    <x v="3"/>
    <x v="2"/>
    <n v="175660.68"/>
    <s v="BRL"/>
    <n v="175660.68"/>
    <s v="BRL"/>
    <s v="DDM - Media - Activation - Platforms Reselling"/>
    <d v="2026-01-31T00:00:00"/>
    <d v="2025-11-24T00:00:00"/>
    <s v="Inbound - Current Client (DEPRECATED)"/>
    <s v="São Paulo, BR"/>
    <s v="70"/>
    <s v="12"/>
    <x v="0"/>
  </r>
  <r>
    <x v="162"/>
    <s v="ACC-1009"/>
    <s v="Usnea Apparel"/>
    <s v="Lucas Almeida"/>
    <s v="Usnea Apparel - DDM - Media - Activation - Platforms Reselling - 04/2026"/>
    <x v="0"/>
    <x v="1"/>
    <n v="300000"/>
    <s v="BRL"/>
    <n v="300000"/>
    <s v="BRL"/>
    <s v="DDM - Media - Activation - Platforms Reselling"/>
    <d v="2026-04-27T00:00:00"/>
    <d v="2026-09-02T00:00:00"/>
    <s v="Inbound - Current Client (DEPRECATED) "/>
    <s v="São Paulo, BR"/>
    <s v="64"/>
    <s v="12"/>
    <x v="0"/>
  </r>
  <r>
    <x v="163"/>
    <s v="ACC-1096"/>
    <s v="Vanilla Beverages"/>
    <s v="Nicolas Teixeira"/>
    <s v="Vanilla Beverages - DDM - Media - Activation - Platforms Reselling - 05/2026"/>
    <x v="2"/>
    <x v="3"/>
    <n v="30000"/>
    <s v="BRL"/>
    <n v="30000"/>
    <s v="BRL"/>
    <s v="DDM - Media - Activation - Platforms Reselling"/>
    <d v="2026-05-29T00:00:00"/>
    <d v="2025-08-18T00:00:00"/>
    <s v="Referral - Internal"/>
    <s v="São Carlos, BR"/>
    <s v="92"/>
    <s v="12"/>
    <x v="2"/>
  </r>
  <r>
    <x v="164"/>
    <s v="ACC-1021"/>
    <s v="Violet Agriculture"/>
    <s v="Carla Mendes"/>
    <s v="Violet Agriculture - Content - Platform - Performance, SEO, CRM &amp; Loyalty - 05/2026"/>
    <x v="3"/>
    <x v="2"/>
    <n v="124000"/>
    <s v="BRL"/>
    <n v="124000"/>
    <s v="BRL"/>
    <s v="DDM - Media - Activation - Platforms Reselling"/>
    <d v="2026-03-25T00:00:00"/>
    <d v="2026-05-03T00:00:00"/>
    <s v="Inbound - Current Client (DEPRECATED)"/>
    <s v="São Paulo, BR"/>
    <s v="20"/>
    <s v="12"/>
    <x v="0"/>
  </r>
  <r>
    <x v="165"/>
    <s v="ACC-1094"/>
    <s v="Xylitol Beverages"/>
    <s v="Lucas Almeida"/>
    <s v="Xylitol Beverages - DDM - Media - Activation - Platforms Reselling - 01/2026"/>
    <x v="1"/>
    <x v="2"/>
    <n v="40000"/>
    <s v="BRL"/>
    <n v="40000"/>
    <s v="BRL"/>
    <s v="DDM - Media - Activation - Platforms Reselling"/>
    <d v="2026-09-01T00:00:00"/>
    <d v="2025-07-21T00:00:00"/>
    <s v="Referral - Internal"/>
    <s v="São Paulo, BR"/>
    <s v="92"/>
    <s v="12"/>
    <x v="2"/>
  </r>
  <r>
    <x v="166"/>
    <s v="ACC-1022"/>
    <s v="Ember Hospitality"/>
    <s v="Sofia Guimaraes"/>
    <s v="Ember Hospitality - DDM - Media - Advisory - 04/2026"/>
    <x v="0"/>
    <x v="2"/>
    <n v="996914.04"/>
    <s v="BRL"/>
    <n v="996914.04"/>
    <s v="BRL"/>
    <s v="DDM - Media - Advisory"/>
    <d v="2026-02-04T00:00:00"/>
    <d v="2025-12-12T00:00:00"/>
    <s v="Inbound - Current Client (DEPRECATED)"/>
    <s v="São Paulo, BR"/>
    <s v="12"/>
    <s v="10"/>
    <x v="0"/>
  </r>
  <r>
    <x v="167"/>
    <s v="ACC-1066"/>
    <s v="Magnolia Retail"/>
    <s v="Carla Mendes"/>
    <s v="Magnolia Retail - DDM - Media - Advisory - 05/2026"/>
    <x v="0"/>
    <x v="1"/>
    <n v="550700.35"/>
    <s v="BRL"/>
    <n v="550700.35"/>
    <s v="BRL"/>
    <s v="DDM - Media - Advisory"/>
    <d v="2026-05-31T00:00:00"/>
    <d v="2026-06-03T00:00:00"/>
    <s v="Inbound - Current Client (DEPRECATED)"/>
    <s v="São Paulo, BR"/>
    <s v="39"/>
    <s v="6"/>
    <x v="0"/>
  </r>
  <r>
    <x v="168"/>
    <s v="ACC-1037"/>
    <s v="Acacia Telecom"/>
    <s v="Bruno Costa"/>
    <s v="Acacia Telecom - DDM - Media - Activation - Platforms Reselling - 07/2026"/>
    <x v="0"/>
    <x v="2"/>
    <n v="11948.39"/>
    <s v="BRL"/>
    <n v="11948.39"/>
    <s v="BRL"/>
    <s v="DDM - Media - Creative"/>
    <d v="2026-03-26T00:00:00"/>
    <d v="2026-03-02T00:00:00"/>
    <s v="Inbound - Current Client (DEPRECATED)"/>
    <s v="Votorantim, BR"/>
    <s v="19"/>
    <s v="1"/>
    <x v="0"/>
  </r>
  <r>
    <x v="169"/>
    <s v="ACC-1064"/>
    <s v="Arrow Construction"/>
    <s v="Daniel Moura"/>
    <s v="Arrow Construction - DDM - Data - Services &amp; Tech - Services (Analytics &amp; Support) - 05/2026"/>
    <x v="0"/>
    <x v="4"/>
    <n v="557613.6"/>
    <s v="BRL"/>
    <n v="557613.6"/>
    <s v="BRL"/>
    <s v="DDM - Media - Creative"/>
    <d v="2026-06-30T00:00:00"/>
    <d v="2026-04-13T00:00:00"/>
    <s v="MH Lead (DEPRECATED)"/>
    <s v="São Carlos, BR"/>
    <s v="1"/>
    <s v="12"/>
    <x v="1"/>
  </r>
  <r>
    <x v="170"/>
    <s v="ACC-1064"/>
    <s v="Arrow Construction"/>
    <s v="Daniel Moura"/>
    <s v="Arrow Construction - DDM - Media - Managed Media (AOR) - 06/2026"/>
    <x v="3"/>
    <x v="4"/>
    <n v="883034.4"/>
    <s v="BRL"/>
    <n v="883034.4"/>
    <s v="BRL"/>
    <s v="DDM - Media - Creative"/>
    <d v="2026-06-30T00:00:00"/>
    <d v="2026-08-04T00:00:00"/>
    <s v="Existing Client - Account/Growth Activity"/>
    <s v="São Carlos, BR"/>
    <s v="1"/>
    <s v="12"/>
    <x v="0"/>
  </r>
  <r>
    <x v="54"/>
    <s v="ACC-1109"/>
    <s v="Bluefin Logistics"/>
    <s v="Lucas Almeida"/>
    <s v="Bluefin Logistics - DDM - Media - Creative - 06/2026"/>
    <x v="4"/>
    <x v="1"/>
    <n v="36000"/>
    <s v="BRL"/>
    <n v="12000"/>
    <s v="BRL"/>
    <s v="DDM - Media - Creative"/>
    <d v="2026-06-29T00:00:00"/>
    <d v="2025-10-20T00:00:00"/>
    <s v="Inbound - Website - Media.Monks (DEPRECATED)"/>
    <s v="São Carlos, BR"/>
    <s v="76"/>
    <s v="12"/>
    <x v="3"/>
  </r>
  <r>
    <x v="171"/>
    <s v="ACC-1011"/>
    <s v="Cardamom Design"/>
    <s v="Xavier Correia"/>
    <s v="Cardamom Design - DDM - Media - Creative - 06/2026"/>
    <x v="2"/>
    <x v="6"/>
    <n v="100000"/>
    <s v="BRL"/>
    <n v="100000"/>
    <s v="BRL"/>
    <s v="DDM - Media - Creative"/>
    <d v="2026-06-30T00:00:00"/>
    <d v="2026-06-04T00:00:00"/>
    <s v="Referral - Internal"/>
    <s v="São Carlos, BR"/>
    <s v="4"/>
    <s v="12"/>
    <x v="2"/>
  </r>
  <r>
    <x v="3"/>
    <s v="ACC-1062"/>
    <s v="Cedar Foods"/>
    <s v="Daniel Moura"/>
    <s v="Cedar Foods - DDM - Media - Creative - 06/2026"/>
    <x v="0"/>
    <x v="1"/>
    <n v="4565828.57"/>
    <s v="BRL"/>
    <n v="1162468.52"/>
    <s v="BRL"/>
    <s v="DDM - Media - Creative"/>
    <d v="2026-06-30T00:00:00"/>
    <d v="2026-01-26T00:00:00"/>
    <s v="Inbound - Current Client (DEPRECATED)"/>
    <s v="Votorantim, BR"/>
    <s v="33"/>
    <s v="12"/>
    <x v="0"/>
  </r>
  <r>
    <x v="6"/>
    <s v="ACC-1119"/>
    <s v="Company 118"/>
    <s v="Wanda Borges"/>
    <s v="Company 118 - DDM - Media - Creative - 05/2026"/>
    <x v="2"/>
    <x v="1"/>
    <n v="2344909.7999999998"/>
    <s v="BRL"/>
    <n v="768956.4"/>
    <s v="BRL"/>
    <s v="DDM - Media - Creative"/>
    <d v="2026-05-29T00:00:00"/>
    <d v="2026-02-27T00:00:00"/>
    <s v="Inbound - Website - Media.Monks (DEPRECATED)"/>
    <s v="Votorantim, BR"/>
    <s v="15"/>
    <s v="12"/>
    <x v="3"/>
  </r>
  <r>
    <x v="113"/>
    <s v="ACC-1120"/>
    <s v="Company 119"/>
    <s v="Felipe Lima"/>
    <s v="Company 119 - DDM - Media - Creative - 05/2026"/>
    <x v="2"/>
    <x v="1"/>
    <n v="894521"/>
    <s v="BRL"/>
    <n v="275800.2"/>
    <s v="BRL"/>
    <s v="DDM - Media - Creative"/>
    <d v="2026-04-05T00:00:00"/>
    <d v="2026-11-03T00:00:00"/>
    <s v="Inbound - Website - Media.Monks (DEPRECATED)"/>
    <s v="São Carlos, BR"/>
    <s v="25"/>
    <s v="12"/>
    <x v="3"/>
  </r>
  <r>
    <x v="172"/>
    <s v="ACC-1126"/>
    <s v="Company 125"/>
    <s v="Xavier Correia"/>
    <s v="Company 125 - DDM - Media - Creative - 04/2026"/>
    <x v="2"/>
    <x v="3"/>
    <n v="456000"/>
    <s v="BRL"/>
    <n v="36000"/>
    <s v="BRL"/>
    <s v="DDM - Media - Creative"/>
    <d v="2026-04-30T00:00:00"/>
    <d v="2026-02-20T00:00:00"/>
    <s v="Referral - Personal"/>
    <s v="Votorantim, BR"/>
    <s v="13"/>
    <s v="12"/>
    <x v="2"/>
  </r>
  <r>
    <x v="56"/>
    <s v="ACC-1128"/>
    <s v="Company 127"/>
    <s v="Felipe Lima"/>
    <s v="Company 127 - DDM - Media - Creative - 05/2026"/>
    <x v="2"/>
    <x v="5"/>
    <n v="0"/>
    <s v="BRL"/>
    <n v="0"/>
    <s v="BRL"/>
    <s v="DDM - Media - Creative"/>
    <d v="2026-05-13T00:00:00"/>
    <d v="2026-04-13T00:00:00"/>
    <s v="Referral - Internal"/>
    <s v="São Carlos, BR"/>
    <s v="1"/>
    <m/>
    <x v="2"/>
  </r>
  <r>
    <x v="73"/>
    <s v="ACC-1004"/>
    <s v="Harbor Grocers"/>
    <s v="Carla Mendes"/>
    <s v="Harbor Grocers - DDM - Media - Creative - 01/2026"/>
    <x v="3"/>
    <x v="2"/>
    <n v="1038355.7999999999"/>
    <s v="BRL"/>
    <n v="241774.07999999999"/>
    <s v="BRL"/>
    <s v="DDM - Media - Creative"/>
    <d v="2026-01-14T00:00:00"/>
    <d v="2025-06-11T00:00:00"/>
    <s v="Inbound - Current Client (DEPRECATED)"/>
    <s v="São Carlos, BR"/>
    <s v="90"/>
    <s v="12"/>
    <x v="0"/>
  </r>
  <r>
    <x v="74"/>
    <s v="ACC-1004"/>
    <s v="Harbor Grocers"/>
    <s v="Carla Mendes"/>
    <s v="Harbor Grocers - DDM - Media - Creative - 01/2026"/>
    <x v="0"/>
    <x v="2"/>
    <n v="358921.88"/>
    <s v="BRL"/>
    <n v="107937.60000000001"/>
    <s v="BRL"/>
    <s v="DDM - Media - Creative"/>
    <d v="2026-01-14T00:00:00"/>
    <d v="2025-04-12T00:00:00"/>
    <s v="Inbound - Current Client (DEPRECATED)"/>
    <s v="São Carlos, BR"/>
    <s v="90"/>
    <s v="12"/>
    <x v="0"/>
  </r>
  <r>
    <x v="75"/>
    <s v="ACC-1004"/>
    <s v="Harbor Grocers"/>
    <s v="Carla Mendes"/>
    <s v="Harbor Grocers - DDM - Commerce - Content - 01/2026"/>
    <x v="0"/>
    <x v="2"/>
    <n v="45500"/>
    <s v="BRL"/>
    <n v="17600"/>
    <s v="BRL"/>
    <s v="DDM - Media - Creative"/>
    <d v="2026-01-14T00:00:00"/>
    <d v="2025-12-23T00:00:00"/>
    <s v="Inbound - Current Client (DEPRECATED)"/>
    <s v="São Carlos, BR"/>
    <s v="90"/>
    <s v="2"/>
    <x v="0"/>
  </r>
  <r>
    <x v="76"/>
    <s v="ACC-1004"/>
    <s v="Harbor Grocers"/>
    <s v="Carla Mendes"/>
    <s v="Harbor Grocers - DDM - Media - Creative - 01/2026"/>
    <x v="0"/>
    <x v="2"/>
    <n v="45500"/>
    <s v="BRL"/>
    <n v="17600"/>
    <s v="BRL"/>
    <s v="DDM - Media - Creative"/>
    <d v="2026-08-04T00:00:00"/>
    <d v="2026-03-19T00:00:00"/>
    <s v="Inbound - Current Client (DEPRECATED)"/>
    <s v="São Carlos, BR"/>
    <s v="6"/>
    <s v="2"/>
    <x v="0"/>
  </r>
  <r>
    <x v="173"/>
    <s v="ACC-1004"/>
    <s v="Harbor Grocers"/>
    <s v="Carla Mendes"/>
    <s v="Harbor Grocers - DDM - Commerce - Content - 04/2026"/>
    <x v="0"/>
    <x v="2"/>
    <n v="10000"/>
    <s v="BRL"/>
    <n v="10000"/>
    <s v="BRL"/>
    <s v="DDM - Media - Creative"/>
    <d v="2026-08-01T00:00:00"/>
    <d v="2025-04-12T00:00:00"/>
    <s v="Inbound - Current Client (DEPRECATED)"/>
    <s v="São Carlos, BR"/>
    <s v="96"/>
    <s v="1"/>
    <x v="0"/>
  </r>
  <r>
    <x v="58"/>
    <s v="ACC-1049"/>
    <s v="Hazel Construction"/>
    <s v="Bernardo Castro"/>
    <s v="Hazel Construction - DDM - Media - Managed Media (AOR) - 03/2026"/>
    <x v="0"/>
    <x v="2"/>
    <n v="604944.24"/>
    <s v="BRL"/>
    <n v="179794.32"/>
    <s v="BRL"/>
    <s v="DDM - Media - Creative"/>
    <d v="2026-02-25T00:00:00"/>
    <d v="2025-11-17T00:00:00"/>
    <s v="Inbound - Current Client (DEPRECATED)"/>
    <s v="São Carlos, BR"/>
    <s v="48"/>
    <s v="12"/>
    <x v="0"/>
  </r>
  <r>
    <x v="123"/>
    <s v="ACC-1005"/>
    <s v="Helios Tech"/>
    <s v="Lucas Almeida"/>
    <s v="Helios Tech - DDM - Media - Creative - 04/2026"/>
    <x v="2"/>
    <x v="0"/>
    <n v="993642.36"/>
    <s v="BRL"/>
    <n v="343152"/>
    <s v="BRL"/>
    <s v="DDM - Media - Creative"/>
    <d v="2026-10-04T00:00:00"/>
    <d v="2025-03-12T00:00:00"/>
    <s v="Don't Know/Other (DEPRECATED)"/>
    <s v="Votorantim, BR"/>
    <s v="21"/>
    <s v="12"/>
    <x v="1"/>
  </r>
  <r>
    <x v="77"/>
    <s v="ACC-1069"/>
    <s v="Honeysuckle Travel"/>
    <s v="Bruno Costa"/>
    <s v="Honeysuckle Travel - DDM - Media - Creative - 05/2026"/>
    <x v="3"/>
    <x v="4"/>
    <n v="809225.34"/>
    <s v="BRL"/>
    <n v="215611.5"/>
    <s v="BRL"/>
    <s v="DDM - Media - Creative"/>
    <d v="2026-05-31T00:00:00"/>
    <d v="2026-06-03T00:00:00"/>
    <s v="Inbound - Current Client (DEPRECATED)"/>
    <s v="São Carlos, BR"/>
    <s v="18"/>
    <s v="6"/>
    <x v="0"/>
  </r>
  <r>
    <x v="174"/>
    <s v="ACC-1088"/>
    <s v="Indigo Utilities"/>
    <s v="Carla Mendes"/>
    <s v="Indigo Utilities - DDM - Media - Creative - 03/2026"/>
    <x v="3"/>
    <x v="2"/>
    <n v="155444.76"/>
    <s v="BRL"/>
    <n v="155444.76"/>
    <s v="BRL"/>
    <s v="DDM - Media - Creative"/>
    <d v="2026-09-03T00:00:00"/>
    <d v="2026-09-03T00:00:00"/>
    <s v="Inbound - Current Client (DEPRECATED)"/>
    <s v="São Carlos, BR"/>
    <s v="36"/>
    <s v="3"/>
    <x v="0"/>
  </r>
  <r>
    <x v="14"/>
    <s v="ACC-1045"/>
    <s v="Jasper Security"/>
    <s v="Felipe Lima"/>
    <s v="Jasper Security - DDM - Media - Creative - 05/2026"/>
    <x v="2"/>
    <x v="3"/>
    <n v="6208423.2000000002"/>
    <s v="BRL"/>
    <n v="1014954.24"/>
    <s v="BRL"/>
    <s v="DDM - Media - Creative"/>
    <d v="2026-05-13T00:00:00"/>
    <d v="2025-11-26T00:00:00"/>
    <s v="Referral - Internal"/>
    <s v="Votorantim, BR"/>
    <s v="64"/>
    <s v="12"/>
    <x v="2"/>
  </r>
  <r>
    <x v="49"/>
    <s v="ACC-1065"/>
    <s v="Larkspur Foods"/>
    <s v="Joao Pereira"/>
    <s v="Larkspur Foods - DDM - Media - Creative - 05/2026"/>
    <x v="2"/>
    <x v="1"/>
    <n v="265000"/>
    <s v="BRL"/>
    <n v="4000"/>
    <s v="BRL"/>
    <s v="DDM - Media - Creative"/>
    <d v="2026-04-05T00:00:00"/>
    <d v="2026-03-03T00:00:00"/>
    <s v="Referral - Personal"/>
    <s v="São Carlos, BR"/>
    <s v="19"/>
    <s v="12"/>
    <x v="2"/>
  </r>
  <r>
    <x v="18"/>
    <s v="ACC-1041"/>
    <s v="Linden Foods"/>
    <s v="Amanda Rios"/>
    <s v="Linden Foods - DDM - Media - Creative - 05/2026"/>
    <x v="3"/>
    <x v="3"/>
    <n v="1926466.8"/>
    <s v="BRL"/>
    <n v="129525.6"/>
    <s v="BRL"/>
    <s v="DDM - Media - Creative"/>
    <d v="2026-05-31T00:00:00"/>
    <d v="2026-02-20T00:00:00"/>
    <s v="Inbound - Current Client (DEPRECATED)"/>
    <s v="São Carlos, BR"/>
    <s v="26"/>
    <s v="12"/>
    <x v="0"/>
  </r>
  <r>
    <x v="88"/>
    <s v="ACC-1084"/>
    <s v="Nigella Security"/>
    <s v="Bruno Costa"/>
    <s v="Nigella Security - DDM - Media - Managed Media (AOR) - 02/2026"/>
    <x v="3"/>
    <x v="2"/>
    <n v="3156666.46"/>
    <s v="BRL"/>
    <n v="965866.44"/>
    <s v="BRL"/>
    <s v="DDM - Media - Creative"/>
    <d v="2026-02-26T00:00:00"/>
    <d v="2026-12-01T00:00:00"/>
    <s v="Inbound - Current Client (DEPRECATED)"/>
    <s v="São Carlos, BR"/>
    <s v="47"/>
    <s v="12"/>
    <x v="0"/>
  </r>
  <r>
    <x v="65"/>
    <s v="ACC-1095"/>
    <s v="Nimbus Media"/>
    <s v="Yasmin Nogueira"/>
    <s v="Nimbus Media - DDM - Media - Creative - 05/2026"/>
    <x v="2"/>
    <x v="3"/>
    <n v="2627267.83"/>
    <s v="BRL"/>
    <n v="290635.8"/>
    <s v="BRL"/>
    <s v="DDM - Media - Creative"/>
    <d v="2026-11-05T00:00:00"/>
    <d v="2025-01-12T00:00:00"/>
    <s v="Referral - Personal"/>
    <s v="Votorantim, BR"/>
    <s v="54"/>
    <s v="12"/>
    <x v="2"/>
  </r>
  <r>
    <x v="66"/>
    <s v="ACC-1031"/>
    <s v="Nova Studios"/>
    <s v="Queila Ribeiro"/>
    <s v="Nova Studios - DDM - Media - Creative - 04/2026"/>
    <x v="0"/>
    <x v="0"/>
    <n v="3043949.95"/>
    <s v="BRL"/>
    <n v="738948.26"/>
    <s v="BRL"/>
    <s v="DDM - Media - Creative"/>
    <d v="2026-04-30T00:00:00"/>
    <d v="2025-05-19T00:00:00"/>
    <s v="Inbound - Current Client (DEPRECATED)"/>
    <s v="São Carlos, BR"/>
    <s v="130"/>
    <s v="12"/>
    <x v="0"/>
  </r>
  <r>
    <x v="128"/>
    <s v="ACC-1031"/>
    <s v="Nova Studios"/>
    <s v="Queila Ribeiro"/>
    <s v="Nova Studios - DDM - Commerce - Content - 07/2026"/>
    <x v="3"/>
    <x v="0"/>
    <n v="4235159.34"/>
    <s v="BRL"/>
    <n v="459539.83"/>
    <s v="BRL"/>
    <s v="DDM - Media - Creative"/>
    <d v="2026-04-17T00:00:00"/>
    <d v="2025-08-12T00:00:00"/>
    <s v="Inbound - Current Client (DEPRECATED)"/>
    <s v="São Carlos, BR"/>
    <s v="26"/>
    <s v="6"/>
    <x v="0"/>
  </r>
  <r>
    <x v="175"/>
    <s v="ACC-1031"/>
    <s v="Nova Studios"/>
    <s v="Queila Ribeiro"/>
    <s v="Nova Studios - DDM - Data - Services &amp; Tech - Services (Analytics &amp; Support) - 04/2026"/>
    <x v="0"/>
    <x v="0"/>
    <n v="594455.31000000006"/>
    <s v="BRL"/>
    <n v="206541.72"/>
    <s v="BRL"/>
    <s v="DDM - Media - Creative"/>
    <d v="2026-04-30T00:00:00"/>
    <d v="2025-12-15T00:00:00"/>
    <s v="Inbound - Current Client (DEPRECATED)"/>
    <s v="São Carlos, BR"/>
    <s v="26"/>
    <s v="3"/>
    <x v="0"/>
  </r>
  <r>
    <x v="176"/>
    <s v="ACC-1031"/>
    <s v="Nova Studios"/>
    <s v="Queila Ribeiro"/>
    <s v="Nova Studios - DDM - Media - Activation - Platforms Reselling - 04/2026"/>
    <x v="0"/>
    <x v="2"/>
    <n v="39230.949999999997"/>
    <s v="BRL"/>
    <n v="39230.949999999997"/>
    <s v="BRL"/>
    <s v="DDM - Media - Creative"/>
    <d v="2026-03-02T00:00:00"/>
    <d v="2025-12-19T00:00:00"/>
    <s v="Inbound - Current Client (DEPRECATED)"/>
    <s v="São Carlos, BR"/>
    <s v="70"/>
    <s v="1"/>
    <x v="0"/>
  </r>
  <r>
    <x v="177"/>
    <s v="ACC-1025"/>
    <s v="Nutmeg Gaming"/>
    <s v="Amanda Rios"/>
    <s v="Nutmeg Gaming - DDM - Media - Creative - 02/2026"/>
    <x v="0"/>
    <x v="2"/>
    <n v="180000"/>
    <s v="BRL"/>
    <n v="108000"/>
    <s v="BRL"/>
    <s v="DDM - Media - Creative"/>
    <d v="2026-09-02T00:00:00"/>
    <d v="2025-08-29T00:00:00"/>
    <s v="Inbound - Current Client (DEPRECATED)"/>
    <s v="São Carlos, BR"/>
    <s v="64"/>
    <s v="12"/>
    <x v="0"/>
  </r>
  <r>
    <x v="178"/>
    <s v="ACC-1033"/>
    <s v="Onyx Utilities"/>
    <s v="Amanda Rios"/>
    <s v="Onyx Utilities - DDM - Media - Creative - 05/2026"/>
    <x v="0"/>
    <x v="1"/>
    <n v="1096669.2"/>
    <s v="BRL"/>
    <n v="1096669.2"/>
    <s v="BRL"/>
    <s v="DDM - Media - Creative"/>
    <d v="2026-05-31T00:00:00"/>
    <d v="2026-12-02T00:00:00"/>
    <s v="Inbound - Current Client (DEPRECATED)"/>
    <s v="Votorantim, BR"/>
    <s v="47"/>
    <s v="12"/>
    <x v="0"/>
  </r>
  <r>
    <x v="68"/>
    <s v="ACC-1040"/>
    <s v="Quartz Pharma"/>
    <s v="Sofia Guimaraes"/>
    <s v="Quartz Pharma -  - 06/2026"/>
    <x v="0"/>
    <x v="4"/>
    <n v="845252.85"/>
    <s v="BRL"/>
    <n v="704595.14"/>
    <s v="BRL"/>
    <s v="DDM - Media - Creative"/>
    <d v="2026-06-30T00:00:00"/>
    <d v="2026-06-02T00:00:00"/>
    <s v="Inbound - Current Client (DEPRECATED)"/>
    <s v="São Carlos, BR"/>
    <s v="36"/>
    <s v="12"/>
    <x v="0"/>
  </r>
  <r>
    <x v="68"/>
    <s v="ACC-1040"/>
    <s v="Quartz Pharma"/>
    <s v="Sofia Guimaraes"/>
    <s v="Quartz Pharma - Content - Social - AOR - 06/2026"/>
    <x v="0"/>
    <x v="4"/>
    <n v="845252.85"/>
    <s v="BRL"/>
    <n v="19950"/>
    <s v="BRL"/>
    <s v="DDM - Media - Creative"/>
    <d v="2026-06-30T00:00:00"/>
    <d v="2026-06-02T00:00:00"/>
    <s v="Inbound - Current Client (DEPRECATED)"/>
    <s v="São Carlos, BR"/>
    <s v="36"/>
    <s v="12"/>
    <x v="0"/>
  </r>
  <r>
    <x v="82"/>
    <s v="ACC-1036"/>
    <s v="Rowan Energy"/>
    <s v="Pedro Martins"/>
    <s v="Rowan Energy - DDM - Data - Services &amp; Tech - Services (Data Science/Data Eng.) - 05/2026"/>
    <x v="0"/>
    <x v="2"/>
    <n v="274209.96999999997"/>
    <s v="BRL"/>
    <n v="30382.46"/>
    <s v="BRL"/>
    <s v="DDM - Media - Creative"/>
    <d v="2026-05-03T00:00:00"/>
    <d v="2026-05-03T00:00:00"/>
    <s v="Inbound - Current Client (DEPRECATED)"/>
    <s v="Votorantim, BR"/>
    <s v="40"/>
    <s v="1"/>
    <x v="0"/>
  </r>
  <r>
    <x v="130"/>
    <s v="ACC-1063"/>
    <s v="Saffron Fashion"/>
    <s v="Ana Silva"/>
    <s v="Saffron Fashion - DDM - Media - Managed Media (AOR) - 01/2026"/>
    <x v="0"/>
    <x v="2"/>
    <n v="2518147.83"/>
    <s v="BRL"/>
    <n v="550471.68000000005"/>
    <s v="BRL"/>
    <s v="DDM - Media - Creative"/>
    <d v="2026-12-01T00:00:00"/>
    <d v="2025-11-14T00:00:00"/>
    <s v="Inbound - Current Client (DEPRECATED)"/>
    <s v="São Carlos, BR"/>
    <s v="92"/>
    <s v="12"/>
    <x v="0"/>
  </r>
  <r>
    <x v="29"/>
    <s v="ACC-1063"/>
    <s v="Saffron Fashion"/>
    <s v="Ana Silva"/>
    <s v="Saffron Fashion - DDM - Media - Managed Media (AOR) - 01/2026"/>
    <x v="3"/>
    <x v="2"/>
    <n v="6770269.9100000001"/>
    <s v="BRL"/>
    <n v="911038.48"/>
    <s v="BRL"/>
    <s v="DDM - Media - Creative"/>
    <d v="2026-01-27T00:00:00"/>
    <d v="2025-12-15T00:00:00"/>
    <s v="Inbound - Current Client (DEPRECATED)"/>
    <s v="São Carlos, BR"/>
    <s v="77"/>
    <s v="12"/>
    <x v="0"/>
  </r>
  <r>
    <x v="133"/>
    <s v="ACC-1038"/>
    <s v="Sumac Telecom"/>
    <s v="Pedro Martins"/>
    <s v="Sumac Telecom - DDM - Media - Creative - 03/2026"/>
    <x v="3"/>
    <x v="2"/>
    <n v="1758176.04"/>
    <s v="BRL"/>
    <n v="253104"/>
    <s v="BRL"/>
    <s v="DDM - Media - Creative"/>
    <d v="2026-09-03T00:00:00"/>
    <d v="2025-09-10T00:00:00"/>
    <s v="Inbound - Current Client (DEPRECATED)"/>
    <s v="Votorantim, BR"/>
    <s v="36"/>
    <s v="12"/>
    <x v="0"/>
  </r>
  <r>
    <x v="83"/>
    <s v="ACC-1006"/>
    <s v="Willow Beauty"/>
    <s v="Felipe Lima"/>
    <s v="Willow Beauty - Content - Platform - Performance, SEO, CRM &amp; Loyalty - 06/2026"/>
    <x v="0"/>
    <x v="0"/>
    <n v="139766.74"/>
    <s v="BRL"/>
    <n v="75060.7"/>
    <s v="BRL"/>
    <s v="DDM - Media - Creative"/>
    <d v="2026-04-29T00:00:00"/>
    <d v="2026-03-30T00:00:00"/>
    <s v="Referral - S4 Company"/>
    <s v="Votorantim, BR"/>
    <s v="14"/>
    <s v="1"/>
    <x v="2"/>
  </r>
  <r>
    <x v="85"/>
    <s v="ACC-1028"/>
    <s v="Xenon Realty"/>
    <s v="Bernardo Castro"/>
    <s v="Xenon Realty - DDM - Media - Creative - 05/2026"/>
    <x v="0"/>
    <x v="3"/>
    <n v="694094.88"/>
    <s v="BRL"/>
    <n v="401671.67999999999"/>
    <s v="BRL"/>
    <s v="DDM - Media - Creative"/>
    <d v="2026-05-31T00:00:00"/>
    <d v="2026-02-19T00:00:00"/>
    <s v="Inbound - Current Client (DEPRECATED)"/>
    <s v="Votorantim, BR"/>
    <s v="33"/>
    <s v="12"/>
    <x v="0"/>
  </r>
  <r>
    <x v="179"/>
    <s v="ACC-1028"/>
    <s v="Xenon Realty"/>
    <s v="Bernardo Castro"/>
    <s v="Xenon Realty - DDM - Media - Creative - 05/2026"/>
    <x v="0"/>
    <x v="3"/>
    <n v="57594.2"/>
    <s v="BRL"/>
    <n v="57594.2"/>
    <s v="BRL"/>
    <s v="DDM - Media - Creative"/>
    <d v="2026-09-05T00:00:00"/>
    <d v="2026-09-04T00:00:00"/>
    <s v="Existing Client - Account/Growth Activity"/>
    <s v="Votorantim, BR"/>
    <s v="4"/>
    <s v="2"/>
    <x v="0"/>
  </r>
  <r>
    <x v="86"/>
    <s v="ACC-1044"/>
    <s v="Yerba Studios"/>
    <s v="Carla Mendes"/>
    <s v="Yerba Studios - DDM - Media - Creative - 01/2026"/>
    <x v="3"/>
    <x v="2"/>
    <n v="760000"/>
    <s v="BRL"/>
    <n v="164250"/>
    <s v="BRL"/>
    <s v="DDM - Media - Creative"/>
    <d v="2026-01-27T00:00:00"/>
    <d v="2025-11-26T00:00:00"/>
    <s v="Inbound - Current Client (DEPRECATED)"/>
    <s v="São Carlos, BR"/>
    <s v="77"/>
    <s v="12"/>
    <x v="0"/>
  </r>
  <r>
    <x v="87"/>
    <s v="ACC-1044"/>
    <s v="Yerba Studios"/>
    <s v="Carla Mendes"/>
    <s v="Yerba Studios - DDM - Media - Creative - 01/2026"/>
    <x v="0"/>
    <x v="2"/>
    <n v="10784"/>
    <s v="BRL"/>
    <n v="5392"/>
    <s v="BRL"/>
    <s v="DDM - Media - Creative"/>
    <d v="2026-01-27T00:00:00"/>
    <d v="2025-12-18T00:00:00"/>
    <s v="Inbound - Current Client (DEPRECATED)"/>
    <s v="São Carlos, BR"/>
    <s v="77"/>
    <s v="12"/>
    <x v="0"/>
  </r>
  <r>
    <x v="98"/>
    <s v="ACC-1106"/>
    <s v="Yucca Farms"/>
    <s v="Joao Pereira"/>
    <s v="Yucca Farms - DDM - Media - Creative - 03/2026"/>
    <x v="2"/>
    <x v="2"/>
    <n v="195525"/>
    <s v="BRL"/>
    <n v="51574.92"/>
    <s v="BRL"/>
    <s v="DDM - Media - Creative"/>
    <d v="2026-03-31T00:00:00"/>
    <d v="2025-11-26T00:00:00"/>
    <s v="Referral - Personal"/>
    <s v="Votorantim, BR"/>
    <s v="14"/>
    <s v="3"/>
    <x v="2"/>
  </r>
  <r>
    <x v="37"/>
    <s v="ACC-1085"/>
    <s v="Yumberry Mobile"/>
    <s v="Felipe Lima"/>
    <s v="Yumberry Mobile - DDM - Media - Creative - 05/2026"/>
    <x v="2"/>
    <x v="3"/>
    <n v="835250.32000000007"/>
    <s v="BRL"/>
    <n v="278294.40000000002"/>
    <s v="BRL"/>
    <s v="DDM - Media - Creative"/>
    <d v="2026-05-13T00:00:00"/>
    <d v="2026-11-03T00:00:00"/>
    <s v="Referral - Internal"/>
    <s v="São Carlos, BR"/>
    <s v="25"/>
    <s v="12"/>
    <x v="2"/>
  </r>
  <r>
    <x v="142"/>
    <s v="ACC-1015"/>
    <s v="Zinnia Apparel"/>
    <s v="Ana Silva"/>
    <s v="Zinnia Apparel - DDM - Media - Creative - 03/2026"/>
    <x v="3"/>
    <x v="2"/>
    <n v="2706200.27"/>
    <s v="BRL"/>
    <n v="70270.64"/>
    <s v="BRL"/>
    <s v="DDM - Media - Creative"/>
    <d v="2026-03-31T00:00:00"/>
    <d v="2025-08-22T00:00:00"/>
    <s v="Inbound - Current Client (DEPRECATED)"/>
    <s v="São Carlos, BR"/>
    <s v="14"/>
    <s v="12"/>
    <x v="0"/>
  </r>
  <r>
    <x v="0"/>
    <s v="ACC-1037"/>
    <s v="Acacia Telecom"/>
    <s v="Bruno Costa"/>
    <s v="Acacia Telecom - Content - Social - AOR - 03/2026"/>
    <x v="0"/>
    <x v="0"/>
    <n v="601599.48"/>
    <s v="BRL"/>
    <n v="474051.84000000003"/>
    <s v="BRL"/>
    <s v="DDM - Media - Managed Media (AOR)"/>
    <d v="2026-04-30T00:00:00"/>
    <d v="2026-02-26T00:00:00"/>
    <s v="Inbound - Current Client (DEPRECATED)"/>
    <s v="São Carlos, BR"/>
    <s v="42"/>
    <s v="12"/>
    <x v="0"/>
  </r>
  <r>
    <x v="110"/>
    <s v="ACC-1007"/>
    <s v="Anise Beauty"/>
    <s v="Daniel Moura"/>
    <s v="Anise Beauty - DDM - Media - Managed Media (AOR) - 05/2026"/>
    <x v="0"/>
    <x v="3"/>
    <n v="1302107.45"/>
    <s v="BRL"/>
    <n v="1036486.24"/>
    <s v="BRL"/>
    <s v="DDM - Media - Managed Media (AOR)"/>
    <d v="2026-05-31T00:00:00"/>
    <d v="2026-11-03T00:00:00"/>
    <s v="Don't Know/Other (DEPRECATED)"/>
    <s v="Votorantim, BR"/>
    <s v="15"/>
    <s v="12"/>
    <x v="1"/>
  </r>
  <r>
    <x v="180"/>
    <s v="ACC-1064"/>
    <s v="Arrow Construction"/>
    <s v="Daniel Moura"/>
    <s v="Arrow Construction - DDM - Media - Managed Media (AOR) - 01/2026"/>
    <x v="3"/>
    <x v="2"/>
    <n v="106500"/>
    <s v="BRL"/>
    <n v="106500"/>
    <s v="BRL"/>
    <s v="DDM - Media - Managed Media (AOR)"/>
    <d v="2026-01-22T00:00:00"/>
    <d v="2025-09-19T00:00:00"/>
    <s v="Inbound - Current Client (DEPRECATED)"/>
    <s v="São Carlos, BR"/>
    <s v="82"/>
    <s v="12"/>
    <x v="0"/>
  </r>
  <r>
    <x v="181"/>
    <s v="ACC-1064"/>
    <s v="Arrow Construction"/>
    <s v="Daniel Moura"/>
    <s v="Arrow Construction - DDM - Media - Managed Media (AOR) - 01/2026"/>
    <x v="3"/>
    <x v="2"/>
    <n v="247500"/>
    <s v="BRL"/>
    <n v="247500"/>
    <s v="BRL"/>
    <s v="DDM - Media - Managed Media (AOR)"/>
    <d v="2026-01-31T00:00:00"/>
    <d v="2025-10-16T00:00:00"/>
    <s v="Inbound - Current Client (DEPRECATED)"/>
    <s v="São Carlos, BR"/>
    <s v="71"/>
    <s v="3"/>
    <x v="0"/>
  </r>
  <r>
    <x v="182"/>
    <s v="ACC-1064"/>
    <s v="Arrow Construction"/>
    <s v="Daniel Moura"/>
    <s v="Arrow Construction - DDM - Media - Managed Media (AOR) - 01/2026"/>
    <x v="0"/>
    <x v="0"/>
    <n v="1438053.84"/>
    <s v="BRL"/>
    <n v="1438053.84"/>
    <s v="BRL"/>
    <s v="DDM - Media - Managed Media (AOR)"/>
    <d v="2026-04-30T00:00:00"/>
    <d v="2026-04-03T00:00:00"/>
    <s v="Inbound - Current Client (DEPRECATED)"/>
    <s v="Votorantim, BR"/>
    <s v="41"/>
    <s v="12"/>
    <x v="0"/>
  </r>
  <r>
    <x v="1"/>
    <s v="ACC-1064"/>
    <s v="Arrow Construction"/>
    <s v="Daniel Moura"/>
    <s v="Arrow Construction - DDM - Media - Managed Media (AOR) - 01/2026"/>
    <x v="0"/>
    <x v="1"/>
    <n v="1429074.08"/>
    <s v="BRL"/>
    <n v="117901.4"/>
    <s v="BRL"/>
    <s v="DDM - Media - Managed Media (AOR)"/>
    <d v="2026-05-29T00:00:00"/>
    <d v="2026-02-13T00:00:00"/>
    <s v="Inbound - Current Client (DEPRECATED)"/>
    <s v="São Carlos, BR"/>
    <s v="33"/>
    <s v="12"/>
    <x v="0"/>
  </r>
  <r>
    <x v="143"/>
    <s v="ACC-1064"/>
    <s v="Arrow Construction"/>
    <s v="Daniel Moura"/>
    <s v="Arrow Construction - DDM - CRM - Other - 05/2026"/>
    <x v="0"/>
    <x v="0"/>
    <n v="235251.12000000002"/>
    <s v="BRL"/>
    <n v="187259.89"/>
    <s v="BRL"/>
    <s v="DDM - Media - Managed Media (AOR)"/>
    <d v="2026-05-31T00:00:00"/>
    <d v="2025-11-28T00:00:00"/>
    <s v="Inbound - Current Client (DEPRECATED)"/>
    <s v="Votorantim, BR"/>
    <s v="69"/>
    <s v="12"/>
    <x v="0"/>
  </r>
  <r>
    <x v="183"/>
    <s v="ACC-1064"/>
    <s v="Arrow Construction"/>
    <s v="Daniel Moura"/>
    <s v="Arrow Construction - DDM - Media - Managed Media (AOR) - 04/2026"/>
    <x v="0"/>
    <x v="2"/>
    <n v="112013.46"/>
    <s v="BRL"/>
    <n v="112013.46"/>
    <s v="BRL"/>
    <s v="DDM - Media - Managed Media (AOR)"/>
    <d v="2026-01-30T00:00:00"/>
    <d v="2025-10-23T00:00:00"/>
    <s v="Inbound - Current Client (DEPRECATED)"/>
    <s v="São Carlos, BR"/>
    <s v="74"/>
    <s v="6"/>
    <x v="0"/>
  </r>
  <r>
    <x v="184"/>
    <s v="ACC-1064"/>
    <s v="Arrow Construction"/>
    <s v="Daniel Moura"/>
    <s v="Arrow Construction -  - 06/2026"/>
    <x v="0"/>
    <x v="2"/>
    <n v="88500"/>
    <s v="BRL"/>
    <n v="88500"/>
    <s v="BRL"/>
    <s v="DDM - Media - Managed Media (AOR)"/>
    <d v="2026-01-22T00:00:00"/>
    <d v="2025-09-26T00:00:00"/>
    <s v="Inbound - Current Client (DEPRECATED)"/>
    <s v="São Carlos, BR"/>
    <s v="82"/>
    <s v="12"/>
    <x v="0"/>
  </r>
  <r>
    <x v="185"/>
    <s v="ACC-1064"/>
    <s v="Arrow Construction"/>
    <s v="Daniel Moura"/>
    <s v="Arrow Construction - DDM - Media - Creative - 06/2026"/>
    <x v="0"/>
    <x v="6"/>
    <n v="0"/>
    <s v="BRL"/>
    <n v="0"/>
    <s v="BRL"/>
    <s v="DDM - Media - Managed Media (AOR)"/>
    <d v="2026-06-30T00:00:00"/>
    <d v="2026-03-26T00:00:00"/>
    <s v="MH Lead (DEPRECATED)"/>
    <s v="Votorantim, BR"/>
    <s v="19"/>
    <s v="12"/>
    <x v="1"/>
  </r>
  <r>
    <x v="111"/>
    <s v="ACC-1059"/>
    <s v="Basalt Mining"/>
    <s v="Amanda Rios"/>
    <s v="Basalt Mining - DDM - Media - Managed Media (AOR) - 01/2026"/>
    <x v="3"/>
    <x v="2"/>
    <n v="253579.55"/>
    <s v="BRL"/>
    <n v="101137.49"/>
    <s v="BRL"/>
    <s v="DDM - Media - Managed Media (AOR)"/>
    <d v="2026-01-31T00:00:00"/>
    <d v="2025-11-14T00:00:00"/>
    <s v="Inbound - Current Client (DEPRECATED)"/>
    <s v="São Carlos, BR"/>
    <s v="69"/>
    <s v="1"/>
    <x v="0"/>
  </r>
  <r>
    <x v="112"/>
    <s v="ACC-1059"/>
    <s v="Basalt Mining"/>
    <s v="Amanda Rios"/>
    <s v="Basalt Mining - DDM - Media - Managed Media (AOR) - 05/2026"/>
    <x v="3"/>
    <x v="3"/>
    <n v="2132708.1"/>
    <s v="BRL"/>
    <n v="303403.38"/>
    <s v="BRL"/>
    <s v="DDM - Media - Managed Media (AOR)"/>
    <d v="2026-05-31T00:00:00"/>
    <d v="2026-12-01T00:00:00"/>
    <s v="Inbound - Current Client (DEPRECATED)"/>
    <s v="São Carlos, BR"/>
    <s v="8"/>
    <s v="12"/>
    <x v="0"/>
  </r>
  <r>
    <x v="186"/>
    <s v="ACC-1002"/>
    <s v="Birch Studios"/>
    <s v="Gabriela Nunes"/>
    <s v="Birch Studios - DDM - Media - Managed Media (AOR) - 05/2026"/>
    <x v="5"/>
    <x v="5"/>
    <n v="370000"/>
    <s v="USD"/>
    <n v="370000"/>
    <s v="USD"/>
    <s v="DDM - Media - Managed Media (AOR)"/>
    <d v="2026-05-31T00:00:00"/>
    <d v="2026-04-14T00:00:00"/>
    <s v="Existing Client - Account/Growth Activity"/>
    <s v="São Carlos, BR"/>
    <s v="1"/>
    <s v="12"/>
    <x v="0"/>
  </r>
  <r>
    <x v="54"/>
    <s v="ACC-1109"/>
    <s v="Bluefin Logistics"/>
    <s v="Lucas Almeida"/>
    <s v="Bluefin Logistics - DDM - Media - Managed Media (AOR) - 06/2026"/>
    <x v="4"/>
    <x v="1"/>
    <n v="36000"/>
    <s v="BRL"/>
    <n v="12000"/>
    <s v="BRL"/>
    <s v="DDM - Media - Managed Media (AOR)"/>
    <d v="2026-06-29T00:00:00"/>
    <d v="2025-10-20T00:00:00"/>
    <s v="Inbound - Website - Media.Monks (DEPRECATED)"/>
    <s v="São Carlos, BR"/>
    <s v="76"/>
    <s v="12"/>
    <x v="3"/>
  </r>
  <r>
    <x v="3"/>
    <s v="ACC-1062"/>
    <s v="Cedar Foods"/>
    <s v="Daniel Moura"/>
    <s v="Cedar Foods - DDM - Media - Managed Media (AOR) - 06/2026"/>
    <x v="0"/>
    <x v="1"/>
    <n v="4565828.57"/>
    <s v="BRL"/>
    <n v="1423654.78"/>
    <s v="BRL"/>
    <s v="DDM - Media - Managed Media (AOR)"/>
    <d v="2026-06-30T00:00:00"/>
    <d v="2026-01-26T00:00:00"/>
    <s v="Inbound - Current Client (DEPRECATED)"/>
    <s v="Votorantim, BR"/>
    <s v="33"/>
    <s v="12"/>
    <x v="0"/>
  </r>
  <r>
    <x v="187"/>
    <s v="ACC-1107"/>
    <s v="Cobalt SaaS"/>
    <s v="Xavier Correia"/>
    <s v="Cobalt SaaS - DDM - Media - Managed Media (AOR) - 01/2026"/>
    <x v="1"/>
    <x v="2"/>
    <n v="1680000"/>
    <s v="BRL"/>
    <n v="1680000"/>
    <s v="BRL"/>
    <s v="DDM - Media - Managed Media (AOR)"/>
    <d v="2026-01-14T00:00:00"/>
    <d v="2025-11-26T00:00:00"/>
    <s v="Referral - Personal"/>
    <s v="Votorantim, BR"/>
    <s v="90"/>
    <s v="12"/>
    <x v="2"/>
  </r>
  <r>
    <x v="4"/>
    <s v="ACC-1112"/>
    <s v="Company 111"/>
    <s v="Xavier Correia"/>
    <s v="Company 111 - DDM - Media - Managed Media (AOR) - 02/2026"/>
    <x v="2"/>
    <x v="2"/>
    <n v="4293965.2399999993"/>
    <s v="BRL"/>
    <n v="2320969.56"/>
    <s v="BRL"/>
    <s v="DDM - Media - Managed Media (AOR)"/>
    <d v="2026-02-27T00:00:00"/>
    <d v="2026-01-20T00:00:00"/>
    <s v="Referral - S4 Company"/>
    <s v="São Carlos, BR"/>
    <s v="46"/>
    <s v="12"/>
    <x v="2"/>
  </r>
  <r>
    <x v="188"/>
    <s v="ACC-1114"/>
    <s v="Company 113"/>
    <s v="Wanda Borges"/>
    <s v="Company 113 -  - 07/2026"/>
    <x v="2"/>
    <x v="0"/>
    <n v="171761.3"/>
    <s v="BRL"/>
    <n v="171761.3"/>
    <s v="BRL"/>
    <s v="DDM - Media - Managed Media (AOR)"/>
    <d v="2026-04-26T00:00:00"/>
    <d v="2026-03-27T00:00:00"/>
    <s v="Referral - S4 Company"/>
    <s v="São Paulo, BR"/>
    <s v="15"/>
    <s v="10"/>
    <x v="2"/>
  </r>
  <r>
    <x v="5"/>
    <s v="ACC-1115"/>
    <s v="Company 114"/>
    <s v="Xavier Correia"/>
    <s v="Company 114 - DDM - Media - Managed Media (AOR) - 06/2026"/>
    <x v="2"/>
    <x v="1"/>
    <n v="877063.2"/>
    <s v="BRL"/>
    <n v="416671.2"/>
    <s v="BRL"/>
    <s v="DDM - Media - Managed Media (AOR)"/>
    <d v="2026-06-30T00:00:00"/>
    <d v="2026-10-04T00:00:00"/>
    <s v="MH Lead (DEPRECATED)"/>
    <s v="Votorantim, BR"/>
    <s v="4"/>
    <s v="12"/>
    <x v="1"/>
  </r>
  <r>
    <x v="189"/>
    <s v="ACC-1116"/>
    <s v="Company 115"/>
    <s v="Lucas Almeida"/>
    <s v="Company 115 - DDM - Media - Managed Media (AOR) - 05/2026"/>
    <x v="1"/>
    <x v="5"/>
    <n v="935328"/>
    <s v="BRL"/>
    <n v="935328"/>
    <s v="BRL"/>
    <s v="DDM - Media - Managed Media (AOR)"/>
    <d v="2026-05-18T00:00:00"/>
    <d v="2026-02-23T00:00:00"/>
    <s v="Referral - Internal"/>
    <s v="São Carlos, BR"/>
    <s v="50"/>
    <s v="12"/>
    <x v="2"/>
  </r>
  <r>
    <x v="6"/>
    <s v="ACC-1119"/>
    <s v="Company 118"/>
    <s v="Wanda Borges"/>
    <s v="Company 118 - DDM - Media - Managed Media (AOR) - 05/2026"/>
    <x v="2"/>
    <x v="1"/>
    <n v="2344909.7999999998"/>
    <s v="BRL"/>
    <n v="321776.88"/>
    <s v="BRL"/>
    <s v="DDM - Media - Managed Media (AOR)"/>
    <d v="2026-05-29T00:00:00"/>
    <d v="2026-02-27T00:00:00"/>
    <s v="Inbound - Website - Media.Monks (DEPRECATED)"/>
    <s v="Votorantim, BR"/>
    <s v="15"/>
    <s v="12"/>
    <x v="3"/>
  </r>
  <r>
    <x v="113"/>
    <s v="ACC-1120"/>
    <s v="Company 119"/>
    <s v="Felipe Lima"/>
    <s v="Company 119 - DDM - Media - Managed Media (AOR) - 05/2026"/>
    <x v="2"/>
    <x v="1"/>
    <n v="894521"/>
    <s v="BRL"/>
    <n v="574768.80000000005"/>
    <s v="BRL"/>
    <s v="DDM - Media - Managed Media (AOR)"/>
    <d v="2026-04-05T00:00:00"/>
    <d v="2026-11-03T00:00:00"/>
    <s v="Inbound - Website - Media.Monks (DEPRECATED)"/>
    <s v="São Carlos, BR"/>
    <s v="25"/>
    <s v="12"/>
    <x v="3"/>
  </r>
  <r>
    <x v="114"/>
    <s v="ACC-1122"/>
    <s v="Company 121"/>
    <s v="Joao Pereira"/>
    <s v="Company 121 - Content - Platform - Website Creation &amp; Production - 05/2026"/>
    <x v="2"/>
    <x v="1"/>
    <n v="374000"/>
    <s v="BRL"/>
    <n v="354000"/>
    <s v="BRL"/>
    <s v="DDM - Media - Managed Media (AOR)"/>
    <d v="2026-08-05T00:00:00"/>
    <d v="2026-08-04T00:00:00"/>
    <s v="Referral - Personal"/>
    <s v="São Carlos, BR"/>
    <s v="4"/>
    <s v="12"/>
    <x v="2"/>
  </r>
  <r>
    <x v="190"/>
    <s v="ACC-1123"/>
    <s v="Company 122"/>
    <s v="Thiago Freitas"/>
    <s v="Company 122 - DDM - Media - Managed Media (AOR) - 05/2026"/>
    <x v="1"/>
    <x v="6"/>
    <n v="35000"/>
    <s v="BRL"/>
    <n v="35000"/>
    <s v="BRL"/>
    <s v="DDM - Media - Managed Media (AOR)"/>
    <d v="2026-05-31T00:00:00"/>
    <d v="2026-03-26T00:00:00"/>
    <s v="Inbound - Website - Media.Monks (DEPRECATED)"/>
    <s v="São Paulo, BR"/>
    <s v="1"/>
    <s v="3"/>
    <x v="3"/>
  </r>
  <r>
    <x v="172"/>
    <s v="ACC-1126"/>
    <s v="Company 125"/>
    <s v="Xavier Correia"/>
    <s v="Company 125 - DDM - Media - Managed Media (AOR) - 04/2026"/>
    <x v="2"/>
    <x v="3"/>
    <n v="456000"/>
    <s v="BRL"/>
    <n v="420000"/>
    <s v="BRL"/>
    <s v="DDM - Media - Managed Media (AOR)"/>
    <d v="2026-04-30T00:00:00"/>
    <d v="2026-02-20T00:00:00"/>
    <s v="Referral - Personal"/>
    <s v="Votorantim, BR"/>
    <s v="13"/>
    <s v="12"/>
    <x v="2"/>
  </r>
  <r>
    <x v="56"/>
    <s v="ACC-1128"/>
    <s v="Company 127"/>
    <s v="Felipe Lima"/>
    <s v="Company 127 - DDM - Media - Managed Media (AOR) - 05/2026"/>
    <x v="2"/>
    <x v="5"/>
    <n v="0"/>
    <s v="BRL"/>
    <n v="0"/>
    <s v="BRL"/>
    <s v="DDM - Media - Managed Media (AOR)"/>
    <d v="2026-05-13T00:00:00"/>
    <d v="2026-04-13T00:00:00"/>
    <s v="Referral - Internal"/>
    <s v="São Carlos, BR"/>
    <s v="1"/>
    <m/>
    <x v="2"/>
  </r>
  <r>
    <x v="116"/>
    <s v="ACC-1046"/>
    <s v="Cypress Air"/>
    <s v="Wanda Borges"/>
    <s v="Cypress Air - DDM - Media - Managed Media (AOR) - 02/2026"/>
    <x v="2"/>
    <x v="2"/>
    <n v="589446.40999999992"/>
    <s v="BRL"/>
    <n v="548136.6"/>
    <s v="BRL"/>
    <s v="DDM - Media - Managed Media (AOR)"/>
    <d v="2026-02-27T00:00:00"/>
    <d v="2025-11-11T00:00:00"/>
    <s v="Inbound - Marketing (DEPRECATED)"/>
    <s v="Votorantim, BR"/>
    <s v="46"/>
    <s v="12"/>
    <x v="3"/>
  </r>
  <r>
    <x v="118"/>
    <s v="ACC-1016"/>
    <s v="Elm Realty"/>
    <s v="Pedro Martins"/>
    <s v="Elm Realty - DDM - Media - Managed Media (AOR) - 03/2026"/>
    <x v="3"/>
    <x v="2"/>
    <n v="517703.16"/>
    <s v="BRL"/>
    <n v="420864.6"/>
    <s v="BRL"/>
    <s v="DDM - Media - Managed Media (AOR)"/>
    <d v="2026-03-23T00:00:00"/>
    <d v="2025-11-27T00:00:00"/>
    <s v="MH Lead (DEPRECATED)"/>
    <s v="Votorantim, BR"/>
    <s v="22"/>
    <s v="12"/>
    <x v="1"/>
  </r>
  <r>
    <x v="191"/>
    <s v="ACC-1016"/>
    <s v="Elm Realty"/>
    <s v="Pedro Martins"/>
    <s v="Elm Realty - DDM - Media - Managed Media (AOR) - 03/2026"/>
    <x v="0"/>
    <x v="2"/>
    <n v="164120.28"/>
    <s v="BRL"/>
    <n v="164120.28"/>
    <s v="BRL"/>
    <s v="DDM - Media - Managed Media (AOR)"/>
    <d v="2026-10-03T00:00:00"/>
    <d v="2026-01-23T00:00:00"/>
    <s v="Inbound - Current Client (DEPRECATED)"/>
    <s v="Votorantim, BR"/>
    <s v="35"/>
    <s v="12"/>
    <x v="0"/>
  </r>
  <r>
    <x v="192"/>
    <s v="ACC-1016"/>
    <s v="Elm Realty"/>
    <s v="Pedro Martins"/>
    <s v="Elm Realty - DDM - Data - Services &amp; Tech - Services (Analytics &amp; Support) - 03/2026"/>
    <x v="0"/>
    <x v="2"/>
    <n v="76299"/>
    <s v="BRL"/>
    <n v="76299"/>
    <s v="BRL"/>
    <s v="DDM - Media - Managed Media (AOR)"/>
    <d v="2026-03-23T00:00:00"/>
    <d v="2025-12-18T00:00:00"/>
    <s v="Inbound - Current Client (DEPRECATED)"/>
    <s v="Votorantim, BR"/>
    <s v="22"/>
    <s v="12"/>
    <x v="0"/>
  </r>
  <r>
    <x v="119"/>
    <s v="ACC-1016"/>
    <s v="Elm Realty"/>
    <s v="Pedro Martins"/>
    <s v="Elm Realty - DDM - Data - Services &amp; Tech - Services (Analytics &amp; Support) - 03/2026"/>
    <x v="3"/>
    <x v="2"/>
    <n v="486654.96"/>
    <s v="BRL"/>
    <n v="389804.64"/>
    <s v="BRL"/>
    <s v="DDM - Media - Managed Media (AOR)"/>
    <d v="2026-03-20T00:00:00"/>
    <d v="2026-03-20T00:00:00"/>
    <s v="Inbound - Current Client (DEPRECATED)"/>
    <s v="Votorantim, BR"/>
    <s v="25"/>
    <s v="12"/>
    <x v="0"/>
  </r>
  <r>
    <x v="121"/>
    <s v="ACC-1014"/>
    <s v="Fern Agriculture"/>
    <s v="Lucas Almeida"/>
    <s v="Fern Agriculture - DDM - Media - Managed Media (AOR) - 04/2026"/>
    <x v="1"/>
    <x v="0"/>
    <n v="1410000"/>
    <s v="BRL"/>
    <n v="934800"/>
    <s v="BRL"/>
    <s v="DDM - Media - Managed Media (AOR)"/>
    <d v="2026-04-13T00:00:00"/>
    <d v="2026-01-16T00:00:00"/>
    <s v="Inbound - Website - Media.Monks (DEPRECATED)"/>
    <s v="Votorantim, BR"/>
    <s v="21"/>
    <s v="12"/>
    <x v="3"/>
  </r>
  <r>
    <x v="122"/>
    <s v="ACC-1102"/>
    <s v="Fjord Travel"/>
    <s v="Daniel Moura"/>
    <s v="Fjord Travel - DDM - Media - Managed Media (AOR) - 05/2026"/>
    <x v="0"/>
    <x v="3"/>
    <n v="585915.63"/>
    <s v="BRL"/>
    <n v="466392.76"/>
    <s v="BRL"/>
    <s v="DDM - Media - Managed Media (AOR)"/>
    <d v="2026-05-31T00:00:00"/>
    <d v="2026-11-03T00:00:00"/>
    <s v="Don't Know/Other (DEPRECATED)"/>
    <s v="Votorantim, BR"/>
    <s v="15"/>
    <s v="12"/>
    <x v="1"/>
  </r>
  <r>
    <x v="193"/>
    <s v="ACC-1072"/>
    <s v="Ginger Realty"/>
    <s v="Amanda Rios"/>
    <s v="Ginger Realty - DDM - Media - Managed Media (AOR) - 01/2026"/>
    <x v="3"/>
    <x v="2"/>
    <n v="429774"/>
    <s v="BRL"/>
    <n v="429774"/>
    <s v="BRL"/>
    <s v="DDM - Media - Managed Media (AOR)"/>
    <d v="2026-01-15T00:00:00"/>
    <d v="2025-11-14T00:00:00"/>
    <s v="Inbound - Current Client (DEPRECATED)"/>
    <s v="Votorantim, BR"/>
    <s v="89"/>
    <s v="6"/>
    <x v="0"/>
  </r>
  <r>
    <x v="194"/>
    <s v="ACC-1072"/>
    <s v="Ginger Realty"/>
    <s v="Amanda Rios"/>
    <s v="Ginger Realty - DDM - Media - Managed Media (AOR) - 07/2026"/>
    <x v="3"/>
    <x v="6"/>
    <n v="406131.72"/>
    <s v="BRL"/>
    <n v="406131.72"/>
    <s v="BRL"/>
    <s v="DDM - Media - Managed Media (AOR)"/>
    <d v="2026-07-31T00:00:00"/>
    <d v="2026-10-04T00:00:00"/>
    <s v="Existing Client - Account/Growth Activity"/>
    <s v="Votorantim, BR"/>
    <s v="4"/>
    <s v="6"/>
    <x v="0"/>
  </r>
  <r>
    <x v="195"/>
    <s v="ACC-1048"/>
    <s v="Ginkgo Utilities"/>
    <s v="Daniel Moura"/>
    <s v="Ginkgo Utilities - DDM - Media - Managed Media (AOR) - 06/2026"/>
    <x v="0"/>
    <x v="1"/>
    <n v="91615.13"/>
    <s v="BRL"/>
    <n v="91615.13"/>
    <s v="BRL"/>
    <s v="DDM - Media - Managed Media (AOR)"/>
    <d v="2026-06-30T00:00:00"/>
    <d v="2026-03-26T00:00:00"/>
    <s v="MH Lead (DEPRECATED)"/>
    <s v="Votorantim, BR"/>
    <s v="0"/>
    <s v="12"/>
    <x v="1"/>
  </r>
  <r>
    <x v="196"/>
    <s v="ACC-1110"/>
    <s v="Glacier Energy"/>
    <s v="Lucas Almeida"/>
    <s v="Glacier Energy - DDM - Media - Managed Media (AOR) - 06/2026"/>
    <x v="2"/>
    <x v="1"/>
    <n v="391800"/>
    <s v="BRL"/>
    <n v="391800"/>
    <s v="BRL"/>
    <s v="DDM - Media - Managed Media (AOR)"/>
    <d v="2026-01-06T00:00:00"/>
    <d v="2026-01-13T00:00:00"/>
    <s v="Referral - Internal"/>
    <s v="Votorantim, BR"/>
    <s v="64"/>
    <s v="12"/>
    <x v="2"/>
  </r>
  <r>
    <x v="73"/>
    <s v="ACC-1004"/>
    <s v="Harbor Grocers"/>
    <s v="Carla Mendes"/>
    <s v="Harbor Grocers - DDM - Media - Managed Media (AOR) - 01/2026"/>
    <x v="3"/>
    <x v="2"/>
    <n v="1038355.7999999999"/>
    <s v="BRL"/>
    <n v="600429.6"/>
    <s v="BRL"/>
    <s v="DDM - Media - Managed Media (AOR)"/>
    <d v="2026-01-14T00:00:00"/>
    <d v="2025-06-11T00:00:00"/>
    <s v="Inbound - Current Client (DEPRECATED)"/>
    <s v="São Carlos, BR"/>
    <s v="90"/>
    <s v="12"/>
    <x v="0"/>
  </r>
  <r>
    <x v="197"/>
    <s v="ACC-1004"/>
    <s v="Harbor Grocers"/>
    <s v="Carla Mendes"/>
    <s v="Harbor Grocers - DDM - Media - Creative - 01/2026"/>
    <x v="0"/>
    <x v="2"/>
    <n v="228000"/>
    <s v="BRL"/>
    <n v="228000"/>
    <s v="BRL"/>
    <s v="DDM - Media - Managed Media (AOR)"/>
    <d v="2026-05-01T00:00:00"/>
    <d v="2025-12-18T00:00:00"/>
    <s v="Inbound - Current Client (DEPRECATED)"/>
    <s v="São Carlos, BR"/>
    <s v="99"/>
    <s v="6"/>
    <x v="0"/>
  </r>
  <r>
    <x v="57"/>
    <s v="ACC-1049"/>
    <s v="Hazel Construction"/>
    <s v="Bernardo Castro"/>
    <s v="Hazel Construction - Content - Social - AOR - 01/2026"/>
    <x v="3"/>
    <x v="2"/>
    <n v="1546078.56"/>
    <s v="BRL"/>
    <n v="133226.4"/>
    <s v="BRL"/>
    <s v="DDM - Media - Managed Media (AOR)"/>
    <d v="2026-12-03T00:00:00"/>
    <d v="2025-08-12T00:00:00"/>
    <s v="Inbound - Current Client (DEPRECATED)"/>
    <s v="São Carlos, BR"/>
    <s v="33"/>
    <s v="12"/>
    <x v="0"/>
  </r>
  <r>
    <x v="58"/>
    <s v="ACC-1049"/>
    <s v="Hazel Construction"/>
    <s v="Bernardo Castro"/>
    <s v="Hazel Construction - DDM - Data - Services &amp; Tech - Services (Analytics &amp; Support) - 03/2026"/>
    <x v="0"/>
    <x v="2"/>
    <n v="604944.24"/>
    <s v="BRL"/>
    <n v="117445.56"/>
    <s v="BRL"/>
    <s v="DDM - Media - Managed Media (AOR)"/>
    <d v="2026-02-25T00:00:00"/>
    <d v="2025-11-17T00:00:00"/>
    <s v="Inbound - Current Client (DEPRECATED)"/>
    <s v="São Carlos, BR"/>
    <s v="48"/>
    <s v="12"/>
    <x v="0"/>
  </r>
  <r>
    <x v="198"/>
    <s v="ACC-1049"/>
    <s v="Hazel Construction"/>
    <s v="Bernardo Castro"/>
    <s v="Hazel Construction - Content - Social - AOR - 05/2026"/>
    <x v="0"/>
    <x v="0"/>
    <n v="3000"/>
    <s v="BRL"/>
    <n v="3000"/>
    <s v="BRL"/>
    <s v="DDM - Media - Managed Media (AOR)"/>
    <d v="2026-04-17T00:00:00"/>
    <d v="2026-03-18T00:00:00"/>
    <s v="Inbound - Current Client (DEPRECATED)"/>
    <s v="São Carlos, BR"/>
    <s v="14"/>
    <s v="1"/>
    <x v="0"/>
  </r>
  <r>
    <x v="123"/>
    <s v="ACC-1005"/>
    <s v="Helios Tech"/>
    <s v="Lucas Almeida"/>
    <s v="Helios Tech - DDM - Media - Managed Media (AOR) - 04/2026"/>
    <x v="2"/>
    <x v="0"/>
    <n v="993642.36"/>
    <s v="BRL"/>
    <n v="593490.36"/>
    <s v="BRL"/>
    <s v="DDM - Media - Managed Media (AOR)"/>
    <d v="2026-10-04T00:00:00"/>
    <d v="2025-03-12T00:00:00"/>
    <s v="Don't Know/Other (DEPRECATED)"/>
    <s v="Votorantim, BR"/>
    <s v="21"/>
    <s v="12"/>
    <x v="1"/>
  </r>
  <r>
    <x v="77"/>
    <s v="ACC-1069"/>
    <s v="Honeysuckle Travel"/>
    <s v="Bruno Costa"/>
    <s v="Honeysuckle Travel - DDM - Media - Managed Media (AOR) - 05/2026"/>
    <x v="3"/>
    <x v="4"/>
    <n v="809225.34"/>
    <s v="BRL"/>
    <n v="335907.9"/>
    <s v="BRL"/>
    <s v="DDM - Media - Managed Media (AOR)"/>
    <d v="2026-05-31T00:00:00"/>
    <d v="2026-06-03T00:00:00"/>
    <s v="Inbound - Current Client (DEPRECATED)"/>
    <s v="São Carlos, BR"/>
    <s v="18"/>
    <s v="6"/>
    <x v="0"/>
  </r>
  <r>
    <x v="77"/>
    <s v="ACC-1069"/>
    <s v="Honeysuckle Travel"/>
    <s v="Bruno Costa"/>
    <s v="Honeysuckle Travel - DDM - Media - Managed Media (AOR) - 05/2026"/>
    <x v="3"/>
    <x v="4"/>
    <n v="809225.34"/>
    <s v="BRL"/>
    <n v="31595.88"/>
    <s v="BRL"/>
    <s v="DDM - Media - Managed Media (AOR)"/>
    <d v="2026-05-31T00:00:00"/>
    <d v="2026-06-03T00:00:00"/>
    <s v="Inbound - Current Client (DEPRECATED)"/>
    <s v="São Carlos, BR"/>
    <s v="18"/>
    <s v="6"/>
    <x v="0"/>
  </r>
  <r>
    <x v="199"/>
    <s v="ACC-1003"/>
    <s v="Ibis Mobility"/>
    <s v="Bruno Costa"/>
    <s v="Ibis Mobility - DDM - Media - Managed Media (AOR) - 05/2026"/>
    <x v="3"/>
    <x v="1"/>
    <n v="120000"/>
    <s v="BRL"/>
    <n v="120000"/>
    <s v="BRL"/>
    <s v="DDM - Media - Managed Media (AOR)"/>
    <d v="2026-05-31T00:00:00"/>
    <d v="2026-06-03T00:00:00"/>
    <s v="Inbound - Current Client (DEPRECATED)"/>
    <s v="São Paulo, BR"/>
    <s v="32"/>
    <s v="12"/>
    <x v="0"/>
  </r>
  <r>
    <x v="200"/>
    <s v="ACC-1018"/>
    <s v="Ivy Cloud"/>
    <s v="Karina Oliveira"/>
    <s v="Ivy Cloud - DDM - Media - Managed Media (AOR) - 07/2026"/>
    <x v="3"/>
    <x v="6"/>
    <n v="645960"/>
    <s v="BRL"/>
    <n v="645960"/>
    <s v="BRL"/>
    <s v="DDM - Media - Managed Media (AOR)"/>
    <d v="2026-07-31T00:00:00"/>
    <d v="2026-10-04T00:00:00"/>
    <s v="MH Lead (DEPRECATED)"/>
    <s v="Votorantim, BR"/>
    <s v="4"/>
    <s v="12"/>
    <x v="1"/>
  </r>
  <r>
    <x v="14"/>
    <s v="ACC-1045"/>
    <s v="Jasper Security"/>
    <s v="Felipe Lima"/>
    <s v="Jasper Security - DDM - Media - Managed Media (AOR) - 05/2026"/>
    <x v="2"/>
    <x v="3"/>
    <n v="6208423.2000000002"/>
    <s v="BRL"/>
    <n v="3334849.56"/>
    <s v="BRL"/>
    <s v="DDM - Media - Managed Media (AOR)"/>
    <d v="2026-05-13T00:00:00"/>
    <d v="2025-11-26T00:00:00"/>
    <s v="Referral - Internal"/>
    <s v="Votorantim, BR"/>
    <s v="64"/>
    <s v="12"/>
    <x v="2"/>
  </r>
  <r>
    <x v="201"/>
    <s v="ACC-1108"/>
    <s v="Jojoba Cosmetics"/>
    <s v="Wanda Borges"/>
    <s v="Jojoba Cosmetics - DDM - Media - Managed Media (AOR) - 01/2026"/>
    <x v="2"/>
    <x v="2"/>
    <n v="60000"/>
    <s v="BRL"/>
    <n v="60000"/>
    <s v="BRL"/>
    <s v="DDM - Media - Managed Media (AOR)"/>
    <d v="2026-01-19T00:00:00"/>
    <d v="2025-12-23T00:00:00"/>
    <s v="Don't Know/Other (DEPRECATED)"/>
    <s v="São Carlos, BR"/>
    <s v="85"/>
    <s v="12"/>
    <x v="1"/>
  </r>
  <r>
    <x v="15"/>
    <s v="ACC-1010"/>
    <s v="Juniper Data"/>
    <s v="Lucas Almeida"/>
    <s v="Juniper Data - DDM - Media - Managed Media (AOR) - 06/2026"/>
    <x v="2"/>
    <x v="3"/>
    <n v="286464"/>
    <s v="BRL"/>
    <n v="12000"/>
    <s v="BRL"/>
    <s v="DDM - Media - Managed Media (AOR)"/>
    <d v="2026-06-29T00:00:00"/>
    <d v="2025-03-11T00:00:00"/>
    <s v="Industry Event"/>
    <s v="São Carlos, BR"/>
    <s v="134"/>
    <s v="24"/>
    <x v="4"/>
  </r>
  <r>
    <x v="202"/>
    <s v="ACC-1054"/>
    <s v="Kite Mobile"/>
    <s v="Bruno Costa"/>
    <s v="Kite Mobile - DDM - Media - Managed Media (AOR) - 05/2026"/>
    <x v="0"/>
    <x v="0"/>
    <n v="145803.84"/>
    <s v="BRL"/>
    <n v="145803.84"/>
    <s v="BRL"/>
    <s v="DDM - Media - Managed Media (AOR)"/>
    <d v="2026-05-31T00:00:00"/>
    <d v="2026-03-13T00:00:00"/>
    <s v="Inbound - Current Client (DEPRECATED)"/>
    <s v="Votorantim, BR"/>
    <s v="29"/>
    <s v="12"/>
    <x v="0"/>
  </r>
  <r>
    <x v="203"/>
    <s v="ACC-1076"/>
    <s v="Kudzu Retail"/>
    <s v="Karina Oliveira"/>
    <s v="Kudzu Retail - DDM - Media - Managed Media (AOR) - 01/2026"/>
    <x v="3"/>
    <x v="2"/>
    <n v="234960"/>
    <s v="BRL"/>
    <n v="234960"/>
    <s v="BRL"/>
    <s v="DDM - Media - Managed Media (AOR)"/>
    <d v="2026-01-20T00:00:00"/>
    <d v="2025-11-28T00:00:00"/>
    <s v="Inbound - Current Client (DEPRECATED)"/>
    <s v="Votorantim, BR"/>
    <s v="84"/>
    <s v="12"/>
    <x v="0"/>
  </r>
  <r>
    <x v="204"/>
    <s v="ACC-1065"/>
    <s v="Larkspur Foods"/>
    <s v="Joao Pereira"/>
    <s v="Larkspur Foods - DDM - Media - Managed Media (AOR) - 07/2026"/>
    <x v="2"/>
    <x v="4"/>
    <n v="1200000"/>
    <s v="BRL"/>
    <n v="1200000"/>
    <s v="BRL"/>
    <s v="DDM - Media - Managed Media (AOR)"/>
    <d v="2026-06-07T00:00:00"/>
    <d v="2026-01-15T00:00:00"/>
    <s v="Referral - Personal"/>
    <s v="São Carlos, BR"/>
    <s v="15"/>
    <s v="12"/>
    <x v="2"/>
  </r>
  <r>
    <x v="64"/>
    <s v="ACC-1080"/>
    <s v="Lavender Publishing"/>
    <s v="Xavier Correia"/>
    <s v="Lavender Publishing - DDM - Media - Managed Media (AOR) - 04/2026"/>
    <x v="2"/>
    <x v="0"/>
    <n v="360655.14"/>
    <s v="BRL"/>
    <n v="297600"/>
    <s v="BRL"/>
    <s v="DDM - Media - Managed Media (AOR)"/>
    <d v="2026-04-13T00:00:00"/>
    <d v="2026-01-23T00:00:00"/>
    <s v="Prospecting - Current Client (DEPRECATED)"/>
    <s v="Votorantim, BR"/>
    <s v="46"/>
    <s v="12"/>
    <x v="0"/>
  </r>
  <r>
    <x v="205"/>
    <s v="ACC-1041"/>
    <s v="Linden Foods"/>
    <s v="Amanda Rios"/>
    <s v="Linden Foods - DDM - Media - Managed Media (AOR) - 07/2026"/>
    <x v="0"/>
    <x v="6"/>
    <n v="25000"/>
    <s v="BRL"/>
    <n v="25000"/>
    <s v="BRL"/>
    <s v="DDM - Media - Managed Media (AOR)"/>
    <d v="2026-07-31T00:00:00"/>
    <d v="2026-10-04T00:00:00"/>
    <s v="Existing Client - Account/Growth Activity"/>
    <s v="São Carlos, BR"/>
    <s v="4"/>
    <s v="12"/>
    <x v="0"/>
  </r>
  <r>
    <x v="206"/>
    <s v="ACC-1093"/>
    <s v="Moringa Health"/>
    <s v="Nicolas Teixeira"/>
    <s v="Moringa Health - DDM - Media - Managed Media (AOR) - 06/2026"/>
    <x v="2"/>
    <x v="6"/>
    <n v="384000"/>
    <s v="BRL"/>
    <n v="384000"/>
    <s v="BRL"/>
    <s v="DDM - Media - Managed Media (AOR)"/>
    <d v="2026-06-30T00:00:00"/>
    <d v="2026-10-04T00:00:00"/>
    <s v="Marketing - Lead Scoring/Nurturing"/>
    <s v="São Carlos, BR"/>
    <s v="4"/>
    <s v="24"/>
    <x v="1"/>
  </r>
  <r>
    <x v="88"/>
    <s v="ACC-1084"/>
    <s v="Nigella Security"/>
    <s v="Bruno Costa"/>
    <s v="Nigella Security - Content - Platform - Performance, SEO, CRM &amp; Loyalty - 05/2026"/>
    <x v="3"/>
    <x v="2"/>
    <n v="3156666.46"/>
    <s v="BRL"/>
    <n v="1530024.1"/>
    <s v="BRL"/>
    <s v="DDM - Media - Managed Media (AOR)"/>
    <d v="2026-02-26T00:00:00"/>
    <d v="2026-12-01T00:00:00"/>
    <s v="Inbound - Current Client (DEPRECATED)"/>
    <s v="São Carlos, BR"/>
    <s v="47"/>
    <s v="12"/>
    <x v="0"/>
  </r>
  <r>
    <x v="207"/>
    <s v="ACC-1084"/>
    <s v="Nigella Security"/>
    <s v="Bruno Costa"/>
    <s v="Nigella Security - DDM - CRM - Other - 02/2026"/>
    <x v="0"/>
    <x v="3"/>
    <n v="264000"/>
    <s v="BRL"/>
    <n v="264000"/>
    <s v="BRL"/>
    <s v="DDM - Media - Managed Media (AOR)"/>
    <d v="2026-05-31T00:00:00"/>
    <d v="2026-02-04T00:00:00"/>
    <s v="Inbound - Current Client (DEPRECATED)"/>
    <s v="São Carlos, BR"/>
    <s v="12"/>
    <s v="12"/>
    <x v="0"/>
  </r>
  <r>
    <x v="65"/>
    <s v="ACC-1095"/>
    <s v="Nimbus Media"/>
    <s v="Yasmin Nogueira"/>
    <s v="Nimbus Media - DDM - Media - Managed Media (AOR) - 05/2026"/>
    <x v="2"/>
    <x v="3"/>
    <n v="2627267.83"/>
    <s v="BRL"/>
    <n v="1263216.3600000001"/>
    <s v="BRL"/>
    <s v="DDM - Media - Managed Media (AOR)"/>
    <d v="2026-11-05T00:00:00"/>
    <d v="2025-01-12T00:00:00"/>
    <s v="Referral - Personal"/>
    <s v="Votorantim, BR"/>
    <s v="54"/>
    <s v="12"/>
    <x v="2"/>
  </r>
  <r>
    <x v="66"/>
    <s v="ACC-1031"/>
    <s v="Nova Studios"/>
    <s v="Queila Ribeiro"/>
    <s v="Nova Studios - DDM - Media - Managed Media (AOR) - 04/2026"/>
    <x v="0"/>
    <x v="0"/>
    <n v="3043949.95"/>
    <s v="BRL"/>
    <n v="829077.09"/>
    <s v="BRL"/>
    <s v="DDM - Media - Managed Media (AOR)"/>
    <d v="2026-04-30T00:00:00"/>
    <d v="2025-05-19T00:00:00"/>
    <s v="Inbound - Current Client (DEPRECATED)"/>
    <s v="São Carlos, BR"/>
    <s v="130"/>
    <s v="12"/>
    <x v="0"/>
  </r>
  <r>
    <x v="128"/>
    <s v="ACC-1031"/>
    <s v="Nova Studios"/>
    <s v="Queila Ribeiro"/>
    <s v="Nova Studios - Content - Platform - Performance, SEO, CRM &amp; Loyalty - 07/2026"/>
    <x v="3"/>
    <x v="0"/>
    <n v="4235159.34"/>
    <s v="BRL"/>
    <n v="3564631.98"/>
    <s v="BRL"/>
    <s v="DDM - Media - Managed Media (AOR)"/>
    <d v="2026-04-17T00:00:00"/>
    <d v="2025-08-12T00:00:00"/>
    <s v="Inbound - Current Client (DEPRECATED)"/>
    <s v="São Carlos, BR"/>
    <s v="26"/>
    <s v="6"/>
    <x v="0"/>
  </r>
  <r>
    <x v="208"/>
    <s v="ACC-1031"/>
    <s v="Nova Studios"/>
    <s v="Queila Ribeiro"/>
    <s v="Nova Studios - DDM - Media - Creative - 04/2026"/>
    <x v="0"/>
    <x v="3"/>
    <n v="720000"/>
    <s v="BRL"/>
    <n v="720000"/>
    <s v="BRL"/>
    <s v="DDM - Media - Managed Media (AOR)"/>
    <d v="2026-05-31T00:00:00"/>
    <d v="2026-02-03T00:00:00"/>
    <s v="Inbound - Current Client (DEPRECATED)"/>
    <s v="São Carlos, BR"/>
    <s v="12"/>
    <s v="12"/>
    <x v="0"/>
  </r>
  <r>
    <x v="175"/>
    <s v="ACC-1031"/>
    <s v="Nova Studios"/>
    <s v="Queila Ribeiro"/>
    <s v="Nova Studios - DDM - Media - Creative - 04/2026"/>
    <x v="0"/>
    <x v="0"/>
    <n v="594455.31000000006"/>
    <s v="BRL"/>
    <n v="387913.59"/>
    <s v="BRL"/>
    <s v="DDM - Media - Managed Media (AOR)"/>
    <d v="2026-04-30T00:00:00"/>
    <d v="2025-12-15T00:00:00"/>
    <s v="Inbound - Current Client (DEPRECATED)"/>
    <s v="São Carlos, BR"/>
    <s v="26"/>
    <s v="3"/>
    <x v="0"/>
  </r>
  <r>
    <x v="177"/>
    <s v="ACC-1025"/>
    <s v="Nutmeg Gaming"/>
    <s v="Amanda Rios"/>
    <s v="Nutmeg Gaming - DDM - Media - Managed Media (AOR) - 02/2026"/>
    <x v="0"/>
    <x v="2"/>
    <n v="180000"/>
    <s v="BRL"/>
    <n v="72000"/>
    <s v="BRL"/>
    <s v="DDM - Media - Managed Media (AOR)"/>
    <d v="2026-09-02T00:00:00"/>
    <d v="2025-08-29T00:00:00"/>
    <s v="Inbound - Current Client (DEPRECATED)"/>
    <s v="São Carlos, BR"/>
    <s v="64"/>
    <s v="12"/>
    <x v="0"/>
  </r>
  <r>
    <x v="209"/>
    <s v="ACC-1026"/>
    <s v="Obsidian Bank"/>
    <s v="Amanda Rios"/>
    <s v="Obsidian Bank - DDM - Media - Managed Media (AOR) - 05/2026"/>
    <x v="0"/>
    <x v="1"/>
    <n v="242040.36"/>
    <s v="BRL"/>
    <n v="242040.36"/>
    <s v="BRL"/>
    <s v="DDM - Media - Managed Media (AOR)"/>
    <d v="2026-05-31T00:00:00"/>
    <d v="2025-11-14T00:00:00"/>
    <s v="Inbound - Current Client (DEPRECATED)"/>
    <s v="São Carlos, BR"/>
    <s v="117"/>
    <s v="12"/>
    <x v="0"/>
  </r>
  <r>
    <x v="158"/>
    <s v="ACC-1055"/>
    <s v="Olive Hospitality"/>
    <s v="Xavier Correia"/>
    <s v="Olive Hospitality - DDM - Media - Managed Media (AOR) - 04/2026"/>
    <x v="1"/>
    <x v="3"/>
    <n v="362880"/>
    <s v="BRL"/>
    <n v="314880"/>
    <s v="BRL"/>
    <s v="DDM - Media - Managed Media (AOR)"/>
    <d v="2026-04-30T00:00:00"/>
    <d v="2026-06-02T00:00:00"/>
    <s v="Referral - Partner - Google Cloud"/>
    <s v="São Carlos, BR"/>
    <s v="36"/>
    <s v="12"/>
    <x v="2"/>
  </r>
  <r>
    <x v="159"/>
    <s v="ACC-1047"/>
    <s v="Oregano Air"/>
    <s v="Nicolas Teixeira"/>
    <s v="Oregano Air - DDM - Media - Managed Media (AOR) - 05/2026"/>
    <x v="1"/>
    <x v="4"/>
    <n v="31256.14"/>
    <s v="BRL"/>
    <n v="10256.14"/>
    <s v="BRL"/>
    <s v="DDM - Media - Managed Media (AOR)"/>
    <d v="2026-05-29T00:00:00"/>
    <d v="2026-03-20T00:00:00"/>
    <s v="Inbound - Website - Media.Monks (DEPRECATED)"/>
    <s v="São Carlos, BR"/>
    <s v="4"/>
    <s v="12"/>
    <x v="3"/>
  </r>
  <r>
    <x v="210"/>
    <s v="ACC-1068"/>
    <s v="Poppy Media"/>
    <s v="Nicolas Teixeira"/>
    <s v="Poppy Media - DDM - Media - Managed Media (AOR) - 05/2026"/>
    <x v="1"/>
    <x v="1"/>
    <n v="372818.4"/>
    <s v="BRL"/>
    <n v="372818.4"/>
    <s v="BRL"/>
    <s v="DDM - Media - Managed Media (AOR)"/>
    <d v="2026-05-29T00:00:00"/>
    <d v="2026-02-13T00:00:00"/>
    <s v="Inbound - Website (DEPRECATED)"/>
    <s v="São Carlos, BR"/>
    <s v="43"/>
    <s v="12"/>
    <x v="3"/>
  </r>
  <r>
    <x v="24"/>
    <s v="ACC-1051"/>
    <s v="Pyrite Fintech"/>
    <s v="Karina Oliveira"/>
    <s v="Pyrite Fintech - DDM - Media - Managed Media (AOR) - 04/2026"/>
    <x v="0"/>
    <x v="0"/>
    <n v="593400"/>
    <s v="BRL"/>
    <n v="248251.44"/>
    <s v="BRL"/>
    <s v="DDM - Media - Managed Media (AOR)"/>
    <d v="2026-04-30T00:00:00"/>
    <d v="2025-10-10T00:00:00"/>
    <s v="Inbound - Current Client (DEPRECATED)"/>
    <s v="São Carlos, BR"/>
    <s v="127"/>
    <s v="12"/>
    <x v="0"/>
  </r>
  <r>
    <x v="145"/>
    <s v="ACC-1070"/>
    <s v="Quinoa Foods"/>
    <s v="Wanda Borges"/>
    <s v="Quinoa Foods - DDM - CRM - Salesforce Marketing Cloud - 01/2026"/>
    <x v="2"/>
    <x v="0"/>
    <n v="1184791"/>
    <s v="BRL"/>
    <n v="777971"/>
    <s v="BRL"/>
    <s v="DDM - Media - Managed Media (AOR)"/>
    <d v="2026-04-24T00:00:00"/>
    <d v="2026-02-18T00:00:00"/>
    <s v="Referral - S4 Company"/>
    <s v="São Paulo, BR"/>
    <s v="26"/>
    <s v="10"/>
    <x v="2"/>
  </r>
  <r>
    <x v="89"/>
    <s v="ACC-1070"/>
    <s v="Quinoa Foods"/>
    <s v="Wanda Borges"/>
    <s v="Quinoa Foods - DDM - Media - Managed Media (AOR) - 04/2026"/>
    <x v="2"/>
    <x v="2"/>
    <n v="1014586.08"/>
    <s v="BRL"/>
    <n v="472133.4"/>
    <s v="BRL"/>
    <s v="DDM - Media - Managed Media (AOR)"/>
    <d v="2026-06-01T00:00:00"/>
    <d v="2025-10-27T00:00:00"/>
    <s v="Prospecting - Current Client (DEPRECATED)"/>
    <s v="São Paulo, BR"/>
    <s v="98"/>
    <s v="6"/>
    <x v="0"/>
  </r>
  <r>
    <x v="211"/>
    <s v="ACC-1057"/>
    <s v="Raven Sports"/>
    <s v="Carla Mendes"/>
    <s v="Raven Sports - DDM - Media - Managed Media (AOR) - 03/2026"/>
    <x v="0"/>
    <x v="2"/>
    <n v="88063.48"/>
    <s v="BRL"/>
    <n v="88063.48"/>
    <s v="BRL"/>
    <s v="DDM - Media - Managed Media (AOR)"/>
    <d v="2026-12-03T00:00:00"/>
    <d v="2025-11-13T00:00:00"/>
    <s v="Don't Know/Other (DEPRECATED)"/>
    <s v="Votorantim, BR"/>
    <n v="33"/>
    <s v="4"/>
    <x v="1"/>
  </r>
  <r>
    <x v="212"/>
    <s v="ACC-1057"/>
    <s v="Raven Sports"/>
    <s v="Carla Mendes"/>
    <s v="Raven Sports - DDM - Media - Managed Media (AOR) - 03/2026"/>
    <x v="0"/>
    <x v="2"/>
    <n v="44031.74"/>
    <s v="BRL"/>
    <n v="44031.74"/>
    <s v="BRL"/>
    <s v="DDM - Media - Managed Media (AOR)"/>
    <d v="2026-02-02T00:00:00"/>
    <d v="2025-12-19T00:00:00"/>
    <s v="Inbound - Current Client (DEPRECATED)"/>
    <s v="Votorantim, BR"/>
    <s v="71"/>
    <s v="1"/>
    <x v="0"/>
  </r>
  <r>
    <x v="213"/>
    <s v="ACC-1057"/>
    <s v="Raven Sports"/>
    <s v="Carla Mendes"/>
    <s v="Raven Sports - DDM - Media - Managed Media (AOR) - 01/2026"/>
    <x v="3"/>
    <x v="2"/>
    <n v="286200"/>
    <s v="BRL"/>
    <n v="286200"/>
    <s v="BRL"/>
    <s v="DDM - Media - Managed Media (AOR)"/>
    <d v="2026-12-03T00:00:00"/>
    <d v="2025-09-10T00:00:00"/>
    <s v="Inbound - Current Client (DEPRECATED)"/>
    <s v="Votorantim, BR"/>
    <s v="33"/>
    <s v="4"/>
    <x v="0"/>
  </r>
  <r>
    <x v="214"/>
    <s v="ACC-1057"/>
    <s v="Raven Sports"/>
    <s v="Carla Mendes"/>
    <s v="Raven Sports - DDM - Media - Managed Media (AOR) - 02/2026"/>
    <x v="3"/>
    <x v="2"/>
    <n v="143100"/>
    <s v="BRL"/>
    <n v="143100"/>
    <s v="BRL"/>
    <s v="DDM - Media - Managed Media (AOR)"/>
    <d v="2026-01-31T00:00:00"/>
    <d v="2025-12-19T00:00:00"/>
    <s v="Inbound - Current Client (DEPRECATED)"/>
    <s v="Votorantim, BR"/>
    <s v="71"/>
    <s v="1"/>
    <x v="0"/>
  </r>
  <r>
    <x v="215"/>
    <s v="ACC-1027"/>
    <s v="Rosemary Auto"/>
    <s v="Daniel Moura"/>
    <s v="Rosemary Auto - DDM - Media - Managed Media (AOR) - 01/2026"/>
    <x v="3"/>
    <x v="2"/>
    <n v="733504.44"/>
    <s v="BRL"/>
    <n v="733504.44"/>
    <s v="BRL"/>
    <s v="DDM - Media - Managed Media (AOR)"/>
    <d v="2026-12-01T00:00:00"/>
    <d v="2025-10-16T00:00:00"/>
    <s v="Inbound - Current Client (DEPRECATED)"/>
    <s v="São Carlos, BR"/>
    <s v="92"/>
    <s v="12"/>
    <x v="0"/>
  </r>
  <r>
    <x v="82"/>
    <s v="ACC-1036"/>
    <s v="Rowan Energy"/>
    <s v="Pedro Martins"/>
    <s v="Rowan Energy - DDM - Media - Creative - 03/2026"/>
    <x v="0"/>
    <x v="2"/>
    <n v="274209.96999999997"/>
    <s v="BRL"/>
    <n v="184049.73"/>
    <s v="BRL"/>
    <s v="DDM - Media - Managed Media (AOR)"/>
    <d v="2026-05-03T00:00:00"/>
    <d v="2026-05-03T00:00:00"/>
    <s v="Inbound - Current Client (DEPRECATED)"/>
    <s v="Votorantim, BR"/>
    <s v="40"/>
    <s v="1"/>
    <x v="0"/>
  </r>
  <r>
    <x v="216"/>
    <s v="ACC-1036"/>
    <s v="Rowan Energy"/>
    <s v="Pedro Martins"/>
    <s v="Rowan Energy - DDM - Media - Managed Media (AOR) - 03/2026"/>
    <x v="3"/>
    <x v="2"/>
    <n v="440332.96"/>
    <s v="BRL"/>
    <n v="440332.96"/>
    <s v="BRL"/>
    <s v="DDM - Media - Managed Media (AOR)"/>
    <d v="2026-05-03T00:00:00"/>
    <d v="2026-05-03T00:00:00"/>
    <s v="Inbound - Current Client (DEPRECATED)"/>
    <s v="Votorantim, BR"/>
    <s v="40"/>
    <s v="12"/>
    <x v="0"/>
  </r>
  <r>
    <x v="130"/>
    <s v="ACC-1063"/>
    <s v="Saffron Fashion"/>
    <s v="Ana Silva"/>
    <s v="Saffron Fashion - Content - Platform - Performance, SEO, CRM &amp; Loyalty - 01/2026"/>
    <x v="0"/>
    <x v="2"/>
    <n v="2518147.83"/>
    <s v="BRL"/>
    <n v="1321676.1499999999"/>
    <s v="BRL"/>
    <s v="DDM - Media - Managed Media (AOR)"/>
    <d v="2026-12-01T00:00:00"/>
    <d v="2025-11-14T00:00:00"/>
    <s v="Inbound - Current Client (DEPRECATED)"/>
    <s v="São Carlos, BR"/>
    <s v="92"/>
    <s v="12"/>
    <x v="0"/>
  </r>
  <r>
    <x v="29"/>
    <s v="ACC-1063"/>
    <s v="Saffron Fashion"/>
    <s v="Ana Silva"/>
    <s v="Saffron Fashion - DDM - Data - Services &amp; Tech - Services (Analytics &amp; Support) - 01/2026"/>
    <x v="3"/>
    <x v="2"/>
    <n v="6770269.9100000001"/>
    <s v="BRL"/>
    <n v="3986192.66"/>
    <s v="BRL"/>
    <s v="DDM - Media - Managed Media (AOR)"/>
    <d v="2026-01-27T00:00:00"/>
    <d v="2025-12-15T00:00:00"/>
    <s v="Inbound - Current Client (DEPRECATED)"/>
    <s v="São Carlos, BR"/>
    <s v="77"/>
    <s v="12"/>
    <x v="0"/>
  </r>
  <r>
    <x v="29"/>
    <s v="ACC-1063"/>
    <s v="Saffron Fashion"/>
    <s v="Ana Silva"/>
    <s v="Saffron Fashion - Content - Platform - Performance, SEO, CRM &amp; Loyalty - 01/2026"/>
    <x v="3"/>
    <x v="2"/>
    <n v="6770269.9100000001"/>
    <s v="BRL"/>
    <n v="272925.34999999998"/>
    <s v="BRL"/>
    <s v="DDM - Media - Managed Media (AOR)"/>
    <d v="2026-01-27T00:00:00"/>
    <d v="2025-12-15T00:00:00"/>
    <s v="Inbound - Current Client (DEPRECATED)"/>
    <s v="São Carlos, BR"/>
    <s v="77"/>
    <s v="12"/>
    <x v="0"/>
  </r>
  <r>
    <x v="131"/>
    <s v="ACC-1063"/>
    <s v="Saffron Fashion"/>
    <s v="Ana Silva"/>
    <s v="Saffron Fashion - DDM - Data - Services &amp; Tech - Services (Analytics &amp; Support) - 01/2026"/>
    <x v="0"/>
    <x v="2"/>
    <n v="722935.92"/>
    <s v="BRL"/>
    <n v="607803.12"/>
    <s v="BRL"/>
    <s v="DDM - Media - Managed Media (AOR)"/>
    <d v="2026-05-01T00:00:00"/>
    <d v="2025-10-29T00:00:00"/>
    <s v="Inbound - Current Client (DEPRECATED)"/>
    <s v="São Carlos, BR"/>
    <s v="99"/>
    <s v="12"/>
    <x v="0"/>
  </r>
  <r>
    <x v="217"/>
    <s v="ACC-1063"/>
    <s v="Saffron Fashion"/>
    <s v="Ana Silva"/>
    <s v="Saffron Fashion - Content - Platform - Performance, SEO, CRM &amp; Loyalty - 05/2026"/>
    <x v="0"/>
    <x v="4"/>
    <n v="706759.68000000005"/>
    <s v="BRL"/>
    <n v="706759.68000000005"/>
    <s v="BRL"/>
    <s v="DDM - Media - Managed Media (AOR)"/>
    <d v="2026-06-30T00:00:00"/>
    <d v="2026-06-04T00:00:00"/>
    <s v="Existing Client - Account/Growth Activity"/>
    <s v="São Carlos, BR"/>
    <s v="8"/>
    <s v="12"/>
    <x v="0"/>
  </r>
  <r>
    <x v="218"/>
    <s v="ACC-1063"/>
    <s v="Saffron Fashion"/>
    <s v="Ana Silva"/>
    <s v="Saffron Fashion - DDM - Media - Managed Media (AOR) - 06/2026"/>
    <x v="3"/>
    <x v="2"/>
    <n v="299999.59999999998"/>
    <s v="BRL"/>
    <n v="299999.59999999998"/>
    <s v="BRL"/>
    <s v="DDM - Media - Managed Media (AOR)"/>
    <d v="2026-03-23T00:00:00"/>
    <d v="2026-01-22T00:00:00"/>
    <s v="Inbound - Current Client (DEPRECATED)"/>
    <s v="São Carlos, BR"/>
    <s v="22"/>
    <s v="12"/>
    <x v="0"/>
  </r>
  <r>
    <x v="219"/>
    <s v="ACC-1089"/>
    <s v="Sage Streaming"/>
    <s v="Karina Oliveira"/>
    <s v="Sage Streaming -  - 05/2026"/>
    <x v="0"/>
    <x v="4"/>
    <n v="173729.16"/>
    <s v="BRL"/>
    <n v="173729.16"/>
    <s v="BRL"/>
    <s v="DDM - Media - Managed Media (AOR)"/>
    <d v="2026-05-29T00:00:00"/>
    <d v="2026-02-04T00:00:00"/>
    <s v="MH Lead (DEPRECATED)"/>
    <s v="Votorantim, BR"/>
    <s v="4"/>
    <s v="12"/>
    <x v="1"/>
  </r>
  <r>
    <x v="133"/>
    <s v="ACC-1038"/>
    <s v="Sumac Telecom"/>
    <s v="Pedro Martins"/>
    <s v="Sumac Telecom - DDM - Media - Managed Media (AOR) - 03/2026"/>
    <x v="3"/>
    <x v="2"/>
    <n v="1758176.04"/>
    <s v="BRL"/>
    <n v="1310372.04"/>
    <s v="BRL"/>
    <s v="DDM - Media - Managed Media (AOR)"/>
    <d v="2026-09-03T00:00:00"/>
    <d v="2025-09-10T00:00:00"/>
    <s v="Inbound - Current Client (DEPRECATED)"/>
    <s v="Votorantim, BR"/>
    <s v="36"/>
    <s v="12"/>
    <x v="0"/>
  </r>
  <r>
    <x v="220"/>
    <s v="ACC-1038"/>
    <s v="Sumac Telecom"/>
    <s v="Pedro Martins"/>
    <s v="Sumac Telecom - DDM - Media - Managed Media (AOR) - 03/2026"/>
    <x v="0"/>
    <x v="2"/>
    <n v="157479.96"/>
    <s v="BRL"/>
    <n v="157479.96"/>
    <s v="BRL"/>
    <s v="DDM - Media - Managed Media (AOR)"/>
    <d v="2026-09-03T00:00:00"/>
    <d v="2026-01-21T00:00:00"/>
    <s v="Inbound - Current Client (DEPRECATED)"/>
    <s v="Votorantim, BR"/>
    <s v="36"/>
    <s v="12"/>
    <x v="0"/>
  </r>
  <r>
    <x v="147"/>
    <s v="ACC-1034"/>
    <s v="Ume Insurance"/>
    <s v="Xavier Correia"/>
    <s v="Ume Insurance - DDM - Media - Managed Media (AOR) - 05/2026"/>
    <x v="2"/>
    <x v="4"/>
    <n v="1528601.1600000001"/>
    <s v="BRL"/>
    <n v="960665.16"/>
    <s v="BRL"/>
    <s v="DDM - Media - Managed Media (AOR)"/>
    <d v="2026-05-31T00:00:00"/>
    <d v="2026-03-20T00:00:00"/>
    <s v="Inbound - Website - Media.Monks (DEPRECATED)"/>
    <s v="São Carlos, BR"/>
    <s v="4"/>
    <s v="12"/>
    <x v="3"/>
  </r>
  <r>
    <x v="221"/>
    <s v="ACC-1030"/>
    <s v="Vertex Apparel"/>
    <s v="Carla Mendes"/>
    <s v="Vertex Apparel - DDM - Media - Managed Media (AOR) - 04/2026"/>
    <x v="6"/>
    <x v="0"/>
    <n v="72720"/>
    <s v="BRL"/>
    <n v="72720"/>
    <s v="BRL"/>
    <s v="DDM - Media - Managed Media (AOR)"/>
    <d v="2026-04-28T00:00:00"/>
    <d v="2026-02-13T00:00:00"/>
    <s v="Inbound - Website (DEPRECATED)"/>
    <s v="São Carlos, BR"/>
    <s v="47"/>
    <s v="12"/>
    <x v="3"/>
  </r>
  <r>
    <x v="222"/>
    <s v="ACC-1030"/>
    <s v="Vertex Apparel"/>
    <s v="Carla Mendes"/>
    <s v="Vertex Apparel - DDM - Media - Managed Media (AOR) - 04/2026"/>
    <x v="0"/>
    <x v="0"/>
    <n v="208391.64"/>
    <s v="BRL"/>
    <n v="208391.64"/>
    <s v="BRL"/>
    <s v="DDM - Media - Managed Media (AOR)"/>
    <d v="2026-04-30T00:00:00"/>
    <d v="2026-02-13T00:00:00"/>
    <s v="Inbound - Current Client (DEPRECATED)"/>
    <s v="São Carlos, BR"/>
    <s v="47"/>
    <s v="12"/>
    <x v="0"/>
  </r>
  <r>
    <x v="32"/>
    <s v="ACC-1111"/>
    <s v="Walnut Manufacturing"/>
    <s v="Wanda Borges"/>
    <s v="Walnut Manufacturing - DDM - Media - Managed Media (AOR) - 05/2026"/>
    <x v="2"/>
    <x v="1"/>
    <n v="2133050.04"/>
    <s v="BRL"/>
    <n v="321776.88"/>
    <s v="BRL"/>
    <s v="DDM - Media - Managed Media (AOR)"/>
    <d v="2026-05-29T00:00:00"/>
    <d v="2026-03-03T00:00:00"/>
    <s v="Inbound - Website - Media.Monks (DEPRECATED)"/>
    <s v="Votorantim, BR"/>
    <s v="15"/>
    <s v="12"/>
    <x v="3"/>
  </r>
  <r>
    <x v="223"/>
    <s v="ACC-1103"/>
    <s v="Wormwood Bank"/>
    <s v="Joao Pereira"/>
    <s v="Wormwood Bank - DDM - Media - Managed Media (AOR) - 04/2026"/>
    <x v="2"/>
    <x v="0"/>
    <n v="259731.72"/>
    <s v="BRL"/>
    <n v="259731.72"/>
    <s v="BRL"/>
    <s v="DDM - Media - Managed Media (AOR)"/>
    <d v="2026-04-30T00:00:00"/>
    <d v="2026-03-31T00:00:00"/>
    <s v="Referral - Internal"/>
    <s v="Votorantim, BR"/>
    <s v="3"/>
    <s v="12"/>
    <x v="2"/>
  </r>
  <r>
    <x v="35"/>
    <s v="ACC-1043"/>
    <s v="Xanadu Media"/>
    <s v="Bernardo Castro"/>
    <s v="Xanadu Media - Content - Platform - Website Creation &amp; Production - 06/2026"/>
    <x v="0"/>
    <x v="1"/>
    <n v="838800"/>
    <s v="BRL"/>
    <n v="198000"/>
    <s v="BRL"/>
    <s v="DDM - Media - Managed Media (AOR)"/>
    <d v="2026-06-30T00:00:00"/>
    <d v="2026-03-30T00:00:00"/>
    <s v="Prospecting - Current Client (DEPRECATED)"/>
    <s v="Votorantim, BR"/>
    <s v="5"/>
    <s v="12"/>
    <x v="0"/>
  </r>
  <r>
    <x v="36"/>
    <s v="ACC-1081"/>
    <s v="Yarrow Health"/>
    <s v="Amanda Rios"/>
    <s v="Yarrow Health - DDM - Media - Managed Media (AOR) - 06/2026"/>
    <x v="3"/>
    <x v="4"/>
    <n v="695284.8"/>
    <s v="BRL"/>
    <n v="354008.4"/>
    <s v="BRL"/>
    <s v="DDM - Media - Managed Media (AOR)"/>
    <d v="2026-06-30T00:00:00"/>
    <d v="2026-10-04T00:00:00"/>
    <s v="Existing Client - Account/Growth Activity"/>
    <s v="São Carlos, BR"/>
    <s v="4"/>
    <s v="12"/>
    <x v="0"/>
  </r>
  <r>
    <x v="86"/>
    <s v="ACC-1044"/>
    <s v="Yerba Studios"/>
    <s v="Carla Mendes"/>
    <s v="Yerba Studios - DDM - Media - Managed Media (AOR) - 01/2026"/>
    <x v="3"/>
    <x v="2"/>
    <n v="760000"/>
    <s v="BRL"/>
    <n v="400000"/>
    <s v="BRL"/>
    <s v="DDM - Media - Managed Media (AOR)"/>
    <d v="2026-01-27T00:00:00"/>
    <d v="2025-11-26T00:00:00"/>
    <s v="Inbound - Current Client (DEPRECATED)"/>
    <s v="São Carlos, BR"/>
    <s v="77"/>
    <s v="12"/>
    <x v="0"/>
  </r>
  <r>
    <x v="98"/>
    <s v="ACC-1106"/>
    <s v="Yucca Farms"/>
    <s v="Joao Pereira"/>
    <s v="Yucca Farms - DDM - Media - Managed Media (AOR) - 03/2026"/>
    <x v="2"/>
    <x v="2"/>
    <n v="195525"/>
    <s v="BRL"/>
    <n v="57430.080000000002"/>
    <s v="BRL"/>
    <s v="DDM - Media - Managed Media (AOR)"/>
    <d v="2026-03-31T00:00:00"/>
    <d v="2025-11-26T00:00:00"/>
    <s v="Referral - Personal"/>
    <s v="Votorantim, BR"/>
    <s v="14"/>
    <s v="3"/>
    <x v="2"/>
  </r>
  <r>
    <x v="37"/>
    <s v="ACC-1085"/>
    <s v="Yumberry Mobile"/>
    <s v="Felipe Lima"/>
    <s v="Yumberry Mobile - DDM - Media - Managed Media (AOR) - 05/2026"/>
    <x v="2"/>
    <x v="3"/>
    <n v="835250.32000000007"/>
    <s v="BRL"/>
    <n v="365077.92"/>
    <s v="BRL"/>
    <s v="DDM - Media - Managed Media (AOR)"/>
    <d v="2026-05-13T00:00:00"/>
    <d v="2026-11-03T00:00:00"/>
    <s v="Referral - Internal"/>
    <s v="São Carlos, BR"/>
    <s v="25"/>
    <s v="12"/>
    <x v="2"/>
  </r>
  <r>
    <x v="224"/>
    <s v="ACC-1029"/>
    <s v="Zephyr Telecom"/>
    <s v="Ana Silva"/>
    <s v="Zephyr Telecom - DDM - Data - Services &amp; Tech - Services (Analytics &amp; Support) - 01/2026"/>
    <x v="3"/>
    <x v="2"/>
    <n v="8047338.7199999997"/>
    <s v="BRL"/>
    <n v="8047338.7199999997"/>
    <s v="BRL"/>
    <s v="DDM - Media - Managed Media (AOR)"/>
    <d v="2026-02-27T00:00:00"/>
    <d v="2025-08-22T00:00:00"/>
    <s v="Inbound - Current Client (DEPRECATED)"/>
    <s v="São Carlos, BR"/>
    <s v="46"/>
    <s v="12"/>
    <x v="0"/>
  </r>
  <r>
    <x v="225"/>
    <s v="ACC-1029"/>
    <s v="Zephyr Telecom"/>
    <s v="Ana Silva"/>
    <s v="Zephyr Telecom - DDM - Media - Managed Media (AOR) - 02/2026"/>
    <x v="0"/>
    <x v="2"/>
    <n v="3208257.54"/>
    <s v="BRL"/>
    <n v="3208257.54"/>
    <s v="BRL"/>
    <s v="DDM - Media - Managed Media (AOR)"/>
    <d v="2026-02-27T00:00:00"/>
    <d v="2025-10-30T00:00:00"/>
    <s v="Inbound - Current Client (DEPRECATED)"/>
    <s v="São Carlos, BR"/>
    <s v="46"/>
    <s v="12"/>
    <x v="0"/>
  </r>
  <r>
    <x v="38"/>
    <s v="ACC-1029"/>
    <s v="Zephyr Telecom"/>
    <s v="Ana Silva"/>
    <s v="Zephyr Telecom - DDM - Media - Managed Media (AOR) - 02/2026"/>
    <x v="3"/>
    <x v="2"/>
    <n v="4260383.32"/>
    <s v="BRL"/>
    <n v="2863609.66"/>
    <s v="BRL"/>
    <s v="DDM - Media - Managed Media (AOR)"/>
    <d v="2026-09-03T00:00:00"/>
    <d v="2025-11-14T00:00:00"/>
    <s v="Inbound - Current Client (DEPRECATED)"/>
    <s v="São Carlos, BR"/>
    <s v="36"/>
    <s v="12"/>
    <x v="0"/>
  </r>
  <r>
    <x v="39"/>
    <s v="ACC-1029"/>
    <s v="Zephyr Telecom"/>
    <s v="Ana Silva"/>
    <s v="Zephyr Telecom - Content - Platform - Performance, SEO, CRM &amp; Loyalty - 03/2026"/>
    <x v="3"/>
    <x v="2"/>
    <n v="3785206.2099999995"/>
    <s v="BRL"/>
    <n v="2191904.46"/>
    <s v="BRL"/>
    <s v="DDM - Media - Managed Media (AOR)"/>
    <d v="2026-02-13T00:00:00"/>
    <d v="2025-11-14T00:00:00"/>
    <s v="Inbound - Current Client (DEPRECATED)"/>
    <s v="São Carlos, BR"/>
    <s v="60"/>
    <s v="12"/>
    <x v="0"/>
  </r>
  <r>
    <x v="138"/>
    <s v="ACC-1029"/>
    <s v="Zephyr Telecom"/>
    <s v="Ana Silva"/>
    <s v="Zephyr Telecom - DDM - Media - Managed Media (AOR) - 03/2026"/>
    <x v="3"/>
    <x v="2"/>
    <n v="490082.16"/>
    <s v="BRL"/>
    <n v="346082.16"/>
    <s v="BRL"/>
    <s v="DDM - Media - Managed Media (AOR)"/>
    <d v="2026-11-03T00:00:00"/>
    <d v="2025-02-12T00:00:00"/>
    <s v="Inbound - Current Client (DEPRECATED)"/>
    <s v="São Carlos, BR"/>
    <s v="34"/>
    <s v="12"/>
    <x v="0"/>
  </r>
  <r>
    <x v="226"/>
    <s v="ACC-1029"/>
    <s v="Zephyr Telecom"/>
    <s v="Ana Silva"/>
    <s v="Zephyr Telecom - DDM - Data - Services &amp; Tech - Services (Analytics &amp; Support) - 04/2026"/>
    <x v="0"/>
    <x v="2"/>
    <n v="492000"/>
    <s v="BRL"/>
    <n v="492000"/>
    <s v="BRL"/>
    <s v="DDM - Media - Managed Media (AOR)"/>
    <d v="2026-11-03T00:00:00"/>
    <d v="2026-01-13T00:00:00"/>
    <s v="Inbound - Current Client (DEPRECATED)"/>
    <s v="São Carlos, BR"/>
    <s v="34"/>
    <s v="12"/>
    <x v="0"/>
  </r>
  <r>
    <x v="227"/>
    <s v="ACC-1029"/>
    <s v="Zephyr Telecom"/>
    <s v="Ana Silva"/>
    <s v="Zephyr Telecom - Content - Platform - Performance, SEO, CRM &amp; Loyalty - 03/2026"/>
    <x v="0"/>
    <x v="2"/>
    <n v="144000"/>
    <s v="BRL"/>
    <n v="144000"/>
    <s v="BRL"/>
    <s v="DDM - Media - Managed Media (AOR)"/>
    <d v="2026-02-13T00:00:00"/>
    <d v="2026-01-22T00:00:00"/>
    <s v="Inbound - Current Client (DEPRECATED)"/>
    <s v="São Carlos, BR"/>
    <s v="60"/>
    <s v="12"/>
    <x v="0"/>
  </r>
  <r>
    <x v="228"/>
    <s v="ACC-1029"/>
    <s v="Zephyr Telecom"/>
    <s v="Ana Silva"/>
    <s v="Zephyr Telecom - DDM - Media - Managed Media (AOR) - 02/2026"/>
    <x v="0"/>
    <x v="0"/>
    <n v="111296.52"/>
    <s v="BRL"/>
    <n v="111296.52"/>
    <s v="BRL"/>
    <s v="DDM - Media - Managed Media (AOR)"/>
    <d v="2026-05-13T00:00:00"/>
    <d v="2026-04-13T00:00:00"/>
    <s v="Existing Client - Account/Growth Activity"/>
    <s v="São Carlos, BR"/>
    <s v="1"/>
    <s v="12"/>
    <x v="0"/>
  </r>
  <r>
    <x v="139"/>
    <s v="ACC-1029"/>
    <s v="Zephyr Telecom"/>
    <s v="Ana Silva"/>
    <s v="Zephyr Telecom - DDM - Media - Managed Media (AOR) - 03/2026"/>
    <x v="3"/>
    <x v="0"/>
    <n v="709465.68"/>
    <s v="BRL"/>
    <n v="565465.68000000005"/>
    <s v="BRL"/>
    <s v="DDM - Media - Managed Media (AOR)"/>
    <d v="2026-04-30T00:00:00"/>
    <d v="2026-12-03T00:00:00"/>
    <s v="Inbound - Current Client (DEPRECATED)"/>
    <s v="São Carlos, BR"/>
    <s v="28"/>
    <s v="12"/>
    <x v="0"/>
  </r>
  <r>
    <x v="229"/>
    <s v="ACC-1029"/>
    <s v="Zephyr Telecom"/>
    <s v="Ana Silva"/>
    <s v="Zephyr Telecom - DDM - Media - Managed Media (AOR) - 04/2026"/>
    <x v="0"/>
    <x v="2"/>
    <n v="24501.84"/>
    <s v="BRL"/>
    <n v="24501.84"/>
    <s v="BRL"/>
    <s v="DDM - Media - Managed Media (AOR)"/>
    <d v="2026-11-03T00:00:00"/>
    <d v="2026-10-02T00:00:00"/>
    <s v="Inbound - Current Client (DEPRECATED)"/>
    <s v="São Carlos, BR"/>
    <s v="34"/>
    <s v="12"/>
    <x v="0"/>
  </r>
  <r>
    <x v="230"/>
    <s v="ACC-1029"/>
    <s v="Zephyr Telecom"/>
    <s v="Ana Silva"/>
    <s v="Zephyr Telecom -  - 06/2026"/>
    <x v="0"/>
    <x v="2"/>
    <n v="5000"/>
    <s v="BRL"/>
    <n v="5000"/>
    <s v="BRL"/>
    <s v="DDM - Media - Managed Media (AOR)"/>
    <d v="2026-12-01T00:00:00"/>
    <d v="2026-09-01T00:00:00"/>
    <s v="Inbound - Current Client (DEPRECATED)"/>
    <s v="São Paulo, BR"/>
    <s v="92"/>
    <s v="1"/>
    <x v="0"/>
  </r>
  <r>
    <x v="231"/>
    <s v="ACC-1029"/>
    <s v="Zephyr Telecom"/>
    <s v="Ana Silva"/>
    <s v="Zephyr Telecom -  - 06/2026"/>
    <x v="0"/>
    <x v="2"/>
    <n v="5000"/>
    <s v="BRL"/>
    <n v="5000"/>
    <s v="BRL"/>
    <s v="DDM - Media - Managed Media (AOR)"/>
    <d v="2026-02-19T00:00:00"/>
    <d v="2026-02-02T00:00:00"/>
    <s v="Inbound - Current Client (DEPRECATED)"/>
    <s v="São Carlos, BR"/>
    <s v="54"/>
    <s v="1"/>
    <x v="0"/>
  </r>
  <r>
    <x v="232"/>
    <s v="ACC-1029"/>
    <s v="Zephyr Telecom"/>
    <s v="Ana Silva"/>
    <s v="Zephyr Telecom - DDM - Media - Managed Media (AOR) - 05/2026"/>
    <x v="0"/>
    <x v="6"/>
    <n v="0"/>
    <s v="BRL"/>
    <n v="0"/>
    <s v="BRL"/>
    <s v="DDM - Media - Managed Media (AOR)"/>
    <d v="2026-06-30T00:00:00"/>
    <d v="2026-09-04T00:00:00"/>
    <s v="MH Lead (DEPRECATED)"/>
    <s v="São Carlos, BR"/>
    <s v="5"/>
    <s v="12"/>
    <x v="1"/>
  </r>
  <r>
    <x v="142"/>
    <s v="ACC-1015"/>
    <s v="Zinnia Apparel"/>
    <s v="Ana Silva"/>
    <s v="Zinnia Apparel - DDM - Media - Managed Media (AOR) - 03/2026"/>
    <x v="3"/>
    <x v="2"/>
    <n v="2706200.27"/>
    <s v="BRL"/>
    <n v="145409.64000000001"/>
    <s v="BRL"/>
    <s v="DDM - Media - Managed Media (AOR)"/>
    <d v="2026-03-31T00:00:00"/>
    <d v="2025-08-22T00:00:00"/>
    <s v="Inbound - Current Client (DEPRECATED)"/>
    <s v="São Carlos, BR"/>
    <s v="14"/>
    <s v="12"/>
    <x v="0"/>
  </r>
  <r>
    <x v="142"/>
    <s v="ACC-1015"/>
    <s v="Zinnia Apparel"/>
    <s v="Ana Silva"/>
    <s v="Zinnia Apparel - DDM - Media - Managed Media (AOR) - 03/2026"/>
    <x v="3"/>
    <x v="2"/>
    <n v="2706200.27"/>
    <s v="BRL"/>
    <n v="1917154.65"/>
    <s v="BRL"/>
    <s v="DDM - Media - Managed Media (AOR)"/>
    <d v="2026-03-31T00:00:00"/>
    <d v="2025-08-22T00:00:00"/>
    <s v="Inbound - Current Client (DEPRECATED)"/>
    <s v="São Carlos, BR"/>
    <s v="14"/>
    <s v="12"/>
    <x v="0"/>
  </r>
  <r>
    <x v="233"/>
    <s v="ACC-1015"/>
    <s v="Zinnia Apparel"/>
    <s v="Ana Silva"/>
    <s v="Zinnia Apparel - DDM - Media - Managed Media (AOR) - 03/2026"/>
    <x v="0"/>
    <x v="3"/>
    <n v="260250.72"/>
    <s v="BRL"/>
    <n v="260250.72"/>
    <s v="BRL"/>
    <s v="DDM - Media - Managed Media (AOR)"/>
    <d v="2026-06-30T00:00:00"/>
    <d v="2026-09-04T00:00:00"/>
    <s v="Existing Client - Account/Growth Activity"/>
    <s v="São Carlos, BR"/>
    <s v="5"/>
    <s v="12"/>
    <x v="0"/>
  </r>
  <r>
    <x v="234"/>
    <s v="ACC-1015"/>
    <s v="Zinnia Apparel"/>
    <s v="Bruno Costa"/>
    <s v="Zinnia Apparel - DDM - Media - Managed Media (AOR) - 03/2026"/>
    <x v="0"/>
    <x v="2"/>
    <n v="65038.05"/>
    <s v="BRL"/>
    <n v="65038.05"/>
    <s v="BRL"/>
    <s v="DDM - Media - Managed Media (AOR)"/>
    <d v="2026-03-31T00:00:00"/>
    <d v="2026-01-22T00:00:00"/>
    <s v="Inbound - Current Client (DEPRECATED)"/>
    <s v="São Carlos, BR"/>
    <s v="14"/>
    <s v="3"/>
    <x v="0"/>
  </r>
  <r>
    <x v="235"/>
    <s v="ACC-1015"/>
    <s v="Zinnia Apparel"/>
    <s v="Ana Silva"/>
    <s v="Zinnia Apparel - DDM - Media - Managed Media (AOR) - 04/2026"/>
    <x v="0"/>
    <x v="2"/>
    <n v="44271"/>
    <s v="BRL"/>
    <n v="44271"/>
    <s v="BRL"/>
    <s v="DDM - Media - Managed Media (AOR)"/>
    <d v="2026-03-31T00:00:00"/>
    <d v="2026-03-25T00:00:00"/>
    <s v="Inbound - Current Client (DEPRECATED)"/>
    <s v="São Carlos, BR"/>
    <s v="14"/>
    <s v="3"/>
    <x v="0"/>
  </r>
  <r>
    <x v="236"/>
    <s v="ACC-1015"/>
    <s v="Zinnia Apparel"/>
    <s v="Bruno Costa"/>
    <s v="Zinnia Apparel - DDM - Media - Managed Media (AOR) - 06/2026"/>
    <x v="3"/>
    <x v="3"/>
    <n v="8049213.7800000003"/>
    <s v="BRL"/>
    <n v="8049213.7800000003"/>
    <s v="BRL"/>
    <s v="DDM - Media - Managed Media (AOR)"/>
    <d v="2026-04-30T00:00:00"/>
    <d v="2026-03-31T00:00:00"/>
    <s v="Inbound - Current Client (DEPRECATED)"/>
    <s v="São Carlos, BR"/>
    <s v="5"/>
    <s v="12"/>
    <x v="0"/>
  </r>
  <r>
    <x v="121"/>
    <s v="ACC-1014"/>
    <s v="Fern Agriculture"/>
    <s v="Lucas Almeida"/>
    <s v="Fern Agriculture - Media - GEO/AEO - 04/2026"/>
    <x v="1"/>
    <x v="0"/>
    <n v="1410000"/>
    <s v="BRL"/>
    <n v="241200"/>
    <s v="BRL"/>
    <s v="Media - GEO/AEO"/>
    <d v="2026-04-13T00:00:00"/>
    <d v="2026-01-16T00:00:00"/>
    <s v="Inbound - Website - Media.Monks (DEPRECATED)"/>
    <s v="Votorantim, BR"/>
    <s v="21"/>
    <s v="12"/>
    <x v="3"/>
  </r>
  <r>
    <x v="237"/>
    <s v="ACC-1064"/>
    <s v="Arrow Construction"/>
    <s v="Daniel Moura"/>
    <s v="Arrow Construction - DDM - Media - Creative - 06/2026"/>
    <x v="0"/>
    <x v="5"/>
    <n v="0"/>
    <m/>
    <m/>
    <m/>
    <m/>
    <d v="2026-06-30T00:00:00"/>
    <d v="2026-12-03T00:00:00"/>
    <s v="Inbound - Current Client (DEPRECATED)"/>
    <s v="São Carlos, BR"/>
    <s v="33"/>
    <m/>
    <x v="0"/>
  </r>
  <r>
    <x v="238"/>
    <s v="ACC-1062"/>
    <s v="Cedar Foods"/>
    <s v="Sofia Guimaraes"/>
    <s v="Cedar Foods -  - 06/2026"/>
    <x v="0"/>
    <x v="5"/>
    <n v="0"/>
    <m/>
    <m/>
    <m/>
    <m/>
    <d v="2026-06-30T00:00:00"/>
    <d v="2026-08-04T00:00:00"/>
    <s v="Website - Sales Form"/>
    <s v="Votorantim, BR"/>
    <s v="6"/>
    <s v="12"/>
    <x v="1"/>
  </r>
  <r>
    <x v="239"/>
    <s v="ACC-1114"/>
    <s v="Company 113"/>
    <s v="Wanda Borges"/>
    <s v="Company 113 - DDM - Media - Managed Media (AOR) - 04/2026"/>
    <x v="2"/>
    <x v="5"/>
    <n v="0"/>
    <m/>
    <m/>
    <m/>
    <m/>
    <d v="2026-01-07T00:00:00"/>
    <d v="2026-02-18T00:00:00"/>
    <s v="Referral - S4 Company"/>
    <s v="São Paulo, BR"/>
    <s v="55"/>
    <m/>
    <x v="2"/>
  </r>
  <r>
    <x v="240"/>
    <s v="ACC-1124"/>
    <s v="Company 123"/>
    <s v="Lucas Almeida"/>
    <s v="Company 123 -  - 05/2026"/>
    <x v="5"/>
    <x v="5"/>
    <n v="0"/>
    <m/>
    <m/>
    <m/>
    <m/>
    <d v="2026-06-05T00:00:00"/>
    <d v="2026-03-30T00:00:00"/>
    <s v="Referral - Internal"/>
    <s v="Votorantim, BR"/>
    <s v="15"/>
    <m/>
    <x v="2"/>
  </r>
  <r>
    <x v="241"/>
    <s v="ACC-1125"/>
    <s v="Company 124"/>
    <s v="Nicolas Teixeira"/>
    <s v="Company 124 -  - 05/2026"/>
    <x v="1"/>
    <x v="5"/>
    <n v="0"/>
    <m/>
    <m/>
    <m/>
    <m/>
    <d v="2026-05-29T00:00:00"/>
    <d v="2026-03-30T00:00:00"/>
    <s v="Referral - Partner - Google Marketing Platform"/>
    <s v="São Paulo, BR"/>
    <s v="15"/>
    <s v="12"/>
    <x v="2"/>
  </r>
  <r>
    <x v="242"/>
    <s v="ACC-1127"/>
    <s v="Company 126"/>
    <s v="Nicolas Teixeira"/>
    <s v="Company 126 -  - 05/2026"/>
    <x v="2"/>
    <x v="5"/>
    <n v="0"/>
    <m/>
    <m/>
    <m/>
    <m/>
    <d v="2026-10-05T00:00:00"/>
    <d v="2026-10-04T00:00:00"/>
    <s v="Referral - Internal"/>
    <s v="São Paulo, BR"/>
    <s v="4"/>
    <m/>
    <x v="2"/>
  </r>
  <r>
    <x v="243"/>
    <s v="ACC-1129"/>
    <s v="Company 128"/>
    <s v="Joao Pereira"/>
    <s v="Company 128 -  - 06/2026"/>
    <x v="2"/>
    <x v="5"/>
    <n v="0"/>
    <m/>
    <m/>
    <m/>
    <m/>
    <d v="2026-08-06T00:00:00"/>
    <d v="2026-04-13T00:00:00"/>
    <s v="Referral - Personal"/>
    <s v="Votorantim, BR"/>
    <s v="1"/>
    <m/>
    <x v="2"/>
  </r>
  <r>
    <x v="244"/>
    <s v="ACC-1130"/>
    <s v="Company 129"/>
    <s v="Joao Pereira"/>
    <s v="Company 129 -  - 05/2026"/>
    <x v="2"/>
    <x v="5"/>
    <n v="0"/>
    <m/>
    <m/>
    <m/>
    <m/>
    <d v="2026-05-13T00:00:00"/>
    <d v="2026-04-13T00:00:00"/>
    <s v="Referral - Personal"/>
    <s v="Votorantim, BR"/>
    <s v="1"/>
    <m/>
    <x v="2"/>
  </r>
  <r>
    <x v="245"/>
    <s v="ACC-1067"/>
    <s v="Echo Insurance"/>
    <s v="Sofia Guimaraes"/>
    <s v="Echo Insurance -  - 06/2026"/>
    <x v="0"/>
    <x v="5"/>
    <n v="0"/>
    <m/>
    <m/>
    <m/>
    <m/>
    <d v="2026-06-30T00:00:00"/>
    <d v="2026-02-04T00:00:00"/>
    <s v="Inbound - Current Client (DEPRECATED)"/>
    <s v="São Paulo, BR"/>
    <s v="12"/>
    <m/>
    <x v="0"/>
  </r>
  <r>
    <x v="246"/>
    <s v="ACC-1001"/>
    <s v="Eucalyptus Fintech"/>
    <s v="Nicolas Teixeira"/>
    <s v="Eucalyptus Fintech -  - 04/2026"/>
    <x v="1"/>
    <x v="5"/>
    <n v="0"/>
    <m/>
    <m/>
    <m/>
    <m/>
    <d v="2026-04-29T00:00:00"/>
    <d v="2026-03-30T00:00:00"/>
    <s v="Referral - Internal"/>
    <s v="São Paulo, BR"/>
    <s v="15"/>
    <m/>
    <x v="2"/>
  </r>
  <r>
    <x v="247"/>
    <s v="ACC-1090"/>
    <s v="Filbert Sports"/>
    <s v="Bruno Costa"/>
    <s v="Filbert Sports -  - 07/2026"/>
    <x v="0"/>
    <x v="5"/>
    <n v="0"/>
    <m/>
    <m/>
    <m/>
    <m/>
    <d v="2026-07-31T00:00:00"/>
    <d v="2026-09-04T00:00:00"/>
    <s v="Existing Client - Account/Growth Activity"/>
    <s v="Votorantim, BR"/>
    <s v="5"/>
    <m/>
    <x v="0"/>
  </r>
  <r>
    <x v="248"/>
    <s v="ACC-1073"/>
    <s v="Lotus Beverages"/>
    <s v="Nicolas Teixeira"/>
    <s v="Lotus Beverages -  - 05/2026"/>
    <x v="1"/>
    <x v="5"/>
    <n v="0"/>
    <m/>
    <m/>
    <m/>
    <m/>
    <d v="2026-10-05T00:00:00"/>
    <d v="2026-10-04T00:00:00"/>
    <s v="Referral - S4 Company"/>
    <s v="São Carlos, BR"/>
    <s v="4"/>
    <m/>
    <x v="2"/>
  </r>
  <r>
    <x v="249"/>
    <s v="ACC-1077"/>
    <s v="Mesa Electronics"/>
    <s v="Vinicius Cardoso"/>
    <s v="Mesa Electronics -  - 03/2026"/>
    <x v="5"/>
    <x v="5"/>
    <n v="0"/>
    <m/>
    <m/>
    <m/>
    <m/>
    <d v="2026-03-31T00:00:00"/>
    <d v="2026-03-31T00:00:00"/>
    <s v="Inbound - Website - Media.Monks (DEPRECATED)"/>
    <s v="São Paulo, BR"/>
    <s v="14"/>
    <m/>
    <x v="3"/>
  </r>
  <r>
    <x v="250"/>
    <s v="ACC-1087"/>
    <s v="Mulberry Electronics"/>
    <s v="Felipe Lima"/>
    <s v="Mulberry Electronics -  - 05/2026"/>
    <x v="2"/>
    <x v="5"/>
    <n v="0"/>
    <m/>
    <m/>
    <m/>
    <m/>
    <d v="2026-05-13T00:00:00"/>
    <d v="2026-04-13T00:00:00"/>
    <s v="Referral - Internal"/>
    <s v="São Paulo, BR"/>
    <s v="1"/>
    <s v="12"/>
    <x v="2"/>
  </r>
  <r>
    <x v="251"/>
    <s v="ACC-1031"/>
    <s v="Nova Studios"/>
    <s v="Queila Ribeiro"/>
    <s v="Nova Studios - DDM - Media - Managed Media (AOR) - 05/2026"/>
    <x v="0"/>
    <x v="6"/>
    <n v="0"/>
    <m/>
    <m/>
    <m/>
    <m/>
    <d v="2026-05-31T00:00:00"/>
    <d v="2026-02-02T00:00:00"/>
    <s v="Inbound - Current Client (DEPRECATED)"/>
    <s v="São Carlos, BR"/>
    <s v="71"/>
    <m/>
    <x v="0"/>
  </r>
  <r>
    <x v="252"/>
    <s v="ACC-1031"/>
    <s v="Nova Studios"/>
    <s v="Queila Ribeiro"/>
    <s v="Nova Studios -  - 05/2026"/>
    <x v="0"/>
    <x v="5"/>
    <n v="0"/>
    <m/>
    <m/>
    <m/>
    <m/>
    <d v="2026-05-31T00:00:00"/>
    <d v="2026-02-03T00:00:00"/>
    <s v="Inbound - Current Client (DEPRECATED)"/>
    <s v="São Carlos, BR"/>
    <s v="43"/>
    <m/>
    <x v="0"/>
  </r>
  <r>
    <x v="253"/>
    <s v="ACC-1013"/>
    <s v="Patchouli Energy"/>
    <s v="Joao Pereira"/>
    <s v="Patchouli Energy -  - 07/2026"/>
    <x v="5"/>
    <x v="5"/>
    <n v="0"/>
    <m/>
    <m/>
    <m/>
    <m/>
    <d v="2026-01-07T00:00:00"/>
    <d v="2026-10-04T00:00:00"/>
    <s v="Referral - Personal"/>
    <s v="São Carlos, BR"/>
    <s v="4"/>
    <m/>
    <x v="2"/>
  </r>
  <r>
    <x v="254"/>
    <s v="ACC-1040"/>
    <s v="Quartz Pharma"/>
    <s v="Sofia Guimaraes"/>
    <s v="Quartz Pharma - DDM - Media - Creative - 06/2026"/>
    <x v="0"/>
    <x v="5"/>
    <n v="0"/>
    <m/>
    <m/>
    <m/>
    <m/>
    <d v="2026-06-30T00:00:00"/>
    <d v="2025-12-09T00:00:00"/>
    <s v="Inbound - Current Client (DEPRECATED)"/>
    <s v="São Paulo, BR"/>
    <s v="180"/>
    <s v="12"/>
    <x v="0"/>
  </r>
  <r>
    <x v="255"/>
    <s v="ACC-1027"/>
    <s v="Rosemary Auto"/>
    <s v="Daniel Moura"/>
    <s v="Rosemary Auto -  - 07/2026"/>
    <x v="0"/>
    <x v="5"/>
    <n v="0"/>
    <m/>
    <m/>
    <m/>
    <m/>
    <d v="2026-07-31T00:00:00"/>
    <d v="2026-04-14T00:00:00"/>
    <s v="MH Lead (DEPRECATED)"/>
    <s v="São Carlos, BR"/>
    <s v="0"/>
    <m/>
    <x v="1"/>
  </r>
  <r>
    <x v="256"/>
    <s v="ACC-1063"/>
    <s v="Saffron Fashion"/>
    <s v="Ana Silva"/>
    <s v="Saffron Fashion -  - 06/2026"/>
    <x v="0"/>
    <x v="5"/>
    <n v="0"/>
    <m/>
    <m/>
    <m/>
    <m/>
    <d v="2026-06-30T00:00:00"/>
    <d v="2026-10-04T00:00:00"/>
    <s v="MH Lead (DEPRECATED)"/>
    <s v="São Carlos, BR"/>
    <s v="4"/>
    <m/>
    <x v="1"/>
  </r>
  <r>
    <x v="257"/>
    <s v="ACC-1089"/>
    <s v="Sage Streaming"/>
    <s v="Karina Oliveira"/>
    <s v="Sage Streaming - DDM - Media - Managed Media (AOR) - 05/2026"/>
    <x v="0"/>
    <x v="6"/>
    <n v="0"/>
    <m/>
    <m/>
    <m/>
    <m/>
    <d v="2026-01-05T00:00:00"/>
    <d v="2026-05-02T00:00:00"/>
    <s v="Inbound - Current Client (DEPRECATED)"/>
    <s v="São Carlos, BR"/>
    <s v="68"/>
    <s v="12"/>
    <x v="0"/>
  </r>
  <r>
    <x v="258"/>
    <s v="ACC-1091"/>
    <s v="Wren Chemicals"/>
    <s v="Karina Oliveira"/>
    <s v="Wren Chemicals -  - 05/2026"/>
    <x v="0"/>
    <x v="5"/>
    <n v="0"/>
    <m/>
    <m/>
    <m/>
    <m/>
    <d v="2026-05-29T00:00:00"/>
    <d v="2026-02-04T00:00:00"/>
    <s v="MH Lead (DEPRECATED)"/>
    <s v="São Carlos, BR"/>
    <s v="12"/>
    <s v="12"/>
    <x v="1"/>
  </r>
  <r>
    <x v="259"/>
    <s v="ACC-1029"/>
    <s v="Zephyr Telecom"/>
    <s v="Ana Silva"/>
    <s v="Zephyr Telecom - DDM - Media - Managed Media (AOR) - 06/2026"/>
    <x v="0"/>
    <x v="5"/>
    <n v="0"/>
    <m/>
    <m/>
    <m/>
    <m/>
    <d v="2026-06-30T00:00:00"/>
    <d v="2026-03-26T00:00:00"/>
    <s v="Inbound - Current Client (DEPRECATED)"/>
    <s v="São Carlos, BR"/>
    <s v="19"/>
    <s v="12"/>
    <x v="0"/>
  </r>
  <r>
    <x v="260"/>
    <s v="ACC-1029"/>
    <s v="Zephyr Telecom"/>
    <s v="Ana Silva"/>
    <s v="Zephyr Telecom - Content - Social - Project - 07/2026"/>
    <x v="0"/>
    <x v="5"/>
    <n v="0"/>
    <m/>
    <m/>
    <m/>
    <m/>
    <d v="2026-06-30T00:00:00"/>
    <d v="2026-03-26T00:00:00"/>
    <s v="Inbound - Current Client (DEPRECATED)"/>
    <s v="São Carlos, BR"/>
    <s v="19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Tabela dinâmica2" cacheId="21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93">
  <location ref="A3:B75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dataField="1" showAll="0" defaultSubtotal="0"/>
    <pivotField showAll="0"/>
    <pivotField showAll="0"/>
    <pivotField showAll="0"/>
    <pivotField showAll="0"/>
    <pivotField axis="axisRow" showAll="0" sortType="ascending">
      <items count="72">
        <item x="28"/>
        <item x="35"/>
        <item x="16"/>
        <item x="68"/>
        <item x="30"/>
        <item x="62"/>
        <item x="56"/>
        <item x="63"/>
        <item x="52"/>
        <item x="27"/>
        <item x="18"/>
        <item x="55"/>
        <item x="50"/>
        <item x="43"/>
        <item x="65"/>
        <item x="57"/>
        <item x="19"/>
        <item x="20"/>
        <item x="67"/>
        <item x="42"/>
        <item x="40"/>
        <item x="26"/>
        <item x="33"/>
        <item x="4"/>
        <item x="58"/>
        <item x="47"/>
        <item x="45"/>
        <item x="44"/>
        <item x="5"/>
        <item x="37"/>
        <item x="2"/>
        <item x="38"/>
        <item x="11"/>
        <item x="21"/>
        <item x="7"/>
        <item x="48"/>
        <item x="53"/>
        <item x="60"/>
        <item x="22"/>
        <item x="66"/>
        <item x="32"/>
        <item x="0"/>
        <item x="17"/>
        <item x="8"/>
        <item x="9"/>
        <item x="41"/>
        <item x="61"/>
        <item x="39"/>
        <item x="1"/>
        <item x="6"/>
        <item x="34"/>
        <item x="69"/>
        <item x="64"/>
        <item x="10"/>
        <item x="3"/>
        <item x="13"/>
        <item x="49"/>
        <item x="31"/>
        <item x="15"/>
        <item x="36"/>
        <item x="24"/>
        <item x="59"/>
        <item x="14"/>
        <item x="23"/>
        <item x="54"/>
        <item x="46"/>
        <item x="70"/>
        <item x="51"/>
        <item x="12"/>
        <item x="29"/>
        <item x="2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2"/>
  </rowFields>
  <rowItems count="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 t="grand">
      <x/>
    </i>
  </rowItems>
  <colItems count="1">
    <i/>
  </colItems>
  <dataFields count="1">
    <dataField name="Soma de Amount" fld="7" baseField="0" baseItem="0"/>
  </dataFields>
  <formats count="4">
    <format dxfId="108">
      <pivotArea field="12" type="button" dataOnly="0" labelOnly="1" outline="0" axis="axisRow" fieldPosition="0"/>
    </format>
    <format dxfId="109">
      <pivotArea dataOnly="0" labelOnly="1" grandRow="1" outline="0" fieldPosition="0"/>
    </format>
    <format dxfId="110">
      <pivotArea dataOnly="0" labelOnly="1" outline="0" axis="axisValues" fieldPosition="0"/>
    </format>
    <format dxfId="111">
      <pivotArea dataOnly="0" labelOnly="1" outline="0" axis="axisValues" fieldPosition="0"/>
    </format>
  </formats>
  <chartFormats count="1">
    <chartFormat chart="9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4" cacheId="23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A3:B9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0"/>
        <item x="4"/>
        <item x="3"/>
        <item x="2"/>
        <item x="1"/>
        <item h="1"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8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Soma de Amount" fld="7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8" cacheId="25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I10" firstHeaderRow="1" firstDataRow="2" firstDataCol="1"/>
  <pivotFields count="19">
    <pivotField dataField="1" showAll="0"/>
    <pivotField showAll="0"/>
    <pivotField showAll="0"/>
    <pivotField showAll="0"/>
    <pivotField showAll="0"/>
    <pivotField showAll="0"/>
    <pivotField axis="axisCol" showAll="0">
      <items count="10">
        <item x="2"/>
        <item h="1" m="1" x="8"/>
        <item h="1" m="1" x="7"/>
        <item x="3"/>
        <item x="5"/>
        <item x="1"/>
        <item x="4"/>
        <item x="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3"/>
        <item x="2"/>
        <item x="1"/>
        <item t="default"/>
      </items>
    </pivotField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8">
    <i>
      <x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ntagem de Opportunity_ID" fld="0" subtotal="count" showDataAs="percentOfRow" baseField="1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6" cacheId="23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1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2"/>
        <item h="1" m="1" x="8"/>
        <item h="1" m="1" x="7"/>
        <item x="3"/>
        <item x="5"/>
        <item x="1"/>
        <item x="4"/>
        <item x="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8">
    <i>
      <x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ntagem de Opportunit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9" cacheId="25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0" firstHeaderRow="1" firstDataRow="1" firstDataCol="1"/>
  <pivotFields count="19">
    <pivotField showAll="0"/>
    <pivotField showAll="0"/>
    <pivotField showAll="0"/>
    <pivotField showAll="0"/>
    <pivotField showAll="0"/>
    <pivotField axis="axisRow" showAll="0">
      <items count="8">
        <item x="0"/>
        <item x="3"/>
        <item x="6"/>
        <item x="2"/>
        <item x="1"/>
        <item x="4"/>
        <item h="1"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édia de Amount" fld="7" subtotal="average" baseField="5" baseItem="0" numFmtId="168"/>
  </dataFields>
  <formats count="1">
    <format dxfId="10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ela dinâmica13" cacheId="24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5:B16" firstHeaderRow="1" firstDataRow="1" firstDataCol="1" rowPageCount="1" colPageCount="1"/>
  <pivotFields count="22">
    <pivotField showAll="0"/>
    <pivotField showAll="0"/>
    <pivotField axis="axisRow" showAll="0" measureFilter="1" sortType="descending">
      <items count="138">
        <item x="0"/>
        <item x="72"/>
        <item x="1"/>
        <item x="38"/>
        <item x="65"/>
        <item m="1" x="135"/>
        <item x="102"/>
        <item x="39"/>
        <item x="98"/>
        <item x="3"/>
        <item x="40"/>
        <item x="4"/>
        <item x="66"/>
        <item x="103"/>
        <item x="5"/>
        <item x="104"/>
        <item x="86"/>
        <item x="87"/>
        <item x="6"/>
        <item x="73"/>
        <item x="64"/>
        <item x="33"/>
        <item x="105"/>
        <item x="119"/>
        <item x="120"/>
        <item x="99"/>
        <item x="121"/>
        <item x="41"/>
        <item x="122"/>
        <item x="123"/>
        <item x="74"/>
        <item x="75"/>
        <item x="34"/>
        <item x="88"/>
        <item x="76"/>
        <item x="7"/>
        <item x="124"/>
        <item x="77"/>
        <item n="Ember Hoitality" m="1" x="133"/>
        <item x="125"/>
        <item x="67"/>
        <item x="78"/>
        <item m="1" x="136"/>
        <item x="79"/>
        <item x="106"/>
        <item x="107"/>
        <item x="108"/>
        <item x="50"/>
        <item x="51"/>
        <item x="42"/>
        <item x="80"/>
        <item x="9"/>
        <item x="43"/>
        <item x="89"/>
        <item x="100"/>
        <item x="10"/>
        <item x="109"/>
        <item m="1" x="131"/>
        <item x="90"/>
        <item x="12"/>
        <item x="91"/>
        <item x="35"/>
        <item x="110"/>
        <item x="13"/>
        <item x="111"/>
        <item m="1" x="132"/>
        <item x="44"/>
        <item x="14"/>
        <item x="126"/>
        <item x="15"/>
        <item x="127"/>
        <item x="112"/>
        <item x="128"/>
        <item x="58"/>
        <item x="16"/>
        <item x="45"/>
        <item x="17"/>
        <item x="101"/>
        <item x="113"/>
        <item m="1" x="134"/>
        <item x="46"/>
        <item x="93"/>
        <item x="18"/>
        <item x="129"/>
        <item x="19"/>
        <item x="114"/>
        <item x="20"/>
        <item x="47"/>
        <item x="68"/>
        <item x="21"/>
        <item x="55"/>
        <item x="22"/>
        <item m="1" x="130"/>
        <item x="115"/>
        <item x="116"/>
        <item x="52"/>
        <item x="69"/>
        <item x="23"/>
        <item x="59"/>
        <item x="81"/>
        <item x="60"/>
        <item x="56"/>
        <item x="82"/>
        <item x="94"/>
        <item x="48"/>
        <item x="37"/>
        <item x="49"/>
        <item x="85"/>
        <item x="95"/>
        <item x="96"/>
        <item x="24"/>
        <item x="117"/>
        <item x="61"/>
        <item x="25"/>
        <item x="26"/>
        <item x="27"/>
        <item x="70"/>
        <item x="118"/>
        <item x="28"/>
        <item x="29"/>
        <item x="53"/>
        <item x="83"/>
        <item x="97"/>
        <item x="30"/>
        <item x="54"/>
        <item x="62"/>
        <item x="31"/>
        <item x="71"/>
        <item x="32"/>
        <item x="84"/>
        <item x="63"/>
        <item x="2"/>
        <item x="8"/>
        <item x="11"/>
        <item x="36"/>
        <item x="57"/>
        <item x="9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showAll="0">
      <items count="8">
        <item x="2"/>
        <item x="3"/>
        <item x="5"/>
        <item x="1"/>
        <item x="4"/>
        <item x="6"/>
        <item x="0"/>
        <item t="default"/>
      </items>
    </pivotField>
    <pivotField dataField="1"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2"/>
  </rowFields>
  <rowItems count="11">
    <i>
      <x v="97"/>
    </i>
    <i>
      <x v="128"/>
    </i>
    <i>
      <x v="11"/>
    </i>
    <i>
      <x v="76"/>
    </i>
    <i>
      <x v="129"/>
    </i>
    <i>
      <x v="74"/>
    </i>
    <i>
      <x v="49"/>
    </i>
    <i>
      <x v="132"/>
    </i>
    <i>
      <x v="35"/>
    </i>
    <i>
      <x v="99"/>
    </i>
    <i t="grand">
      <x/>
    </i>
  </rowItems>
  <colItems count="1">
    <i/>
  </colItems>
  <pageFields count="1">
    <pageField fld="6" item="0" hier="-1"/>
  </pageFields>
  <dataFields count="1">
    <dataField name="Soma de Amount" fld="7" baseField="0" baseItem="0"/>
  </dataFields>
  <formats count="1">
    <format dxfId="85">
      <pivotArea dataOnly="0" outline="0" fieldPosition="0">
        <references count="1">
          <reference field="6" count="1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ela dinâmica10" cacheId="25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5">
  <location ref="A3:B10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axis="axisRow" showAll="0">
      <items count="10">
        <item h="1" x="2"/>
        <item h="1" m="1" x="8"/>
        <item h="1" m="1" x="7"/>
        <item x="3"/>
        <item x="5"/>
        <item x="1"/>
        <item x="4"/>
        <item x="6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Amount" fld="7" baseField="0" baseItem="0"/>
  </dataFields>
  <formats count="3">
    <format dxfId="99">
      <pivotArea field="6" type="button" dataOnly="0" labelOnly="1" outline="0" axis="axisRow" fieldPosition="0"/>
    </format>
    <format dxfId="100">
      <pivotArea dataOnly="0" labelOnly="1" outline="0" axis="axisValues" fieldPosition="0"/>
    </format>
    <format dxfId="101">
      <pivotArea dataOnly="0" labelOnly="1" outline="0" axis="axisValues" fieldPosition="0"/>
    </format>
  </formats>
  <chartFormats count="1"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ela dinâmica12" cacheId="17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3">
  <location ref="A3:D17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 defaultSubtotal="0">
      <items count="12">
        <item x="4"/>
        <item x="3"/>
        <item x="2"/>
        <item x="5"/>
        <item x="0"/>
        <item x="1"/>
        <item x="8"/>
        <item x="6"/>
        <item x="7"/>
        <item x="9"/>
        <item x="10"/>
        <item x="11"/>
      </items>
    </pivotField>
  </pivotFields>
  <rowFields count="1">
    <field x="2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Soma de Amount" fld="7" baseField="0" baseItem="0"/>
  </dataFields>
  <chartFormats count="2"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ela dinâmica7" cacheId="23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:A5" firstHeaderRow="1" firstDataRow="1" firstDataCol="0" rowPageCount="1" colPageCount="1"/>
  <pivotFields count="19">
    <pivotField showAll="0"/>
    <pivotField showAll="0"/>
    <pivotField showAll="0"/>
    <pivotField showAll="0"/>
    <pivotField showAll="0"/>
    <pivotField showAll="0"/>
    <pivotField axis="axisPage" showAll="0">
      <items count="10">
        <item x="2"/>
        <item m="1" x="8"/>
        <item m="1" x="7"/>
        <item x="3"/>
        <item x="5"/>
        <item x="1"/>
        <item x="4"/>
        <item x="6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6" item="0" hier="-1"/>
  </pageFields>
  <dataFields count="1">
    <dataField name="Soma de Amount" fld="7" baseField="0" baseItem="0"/>
  </dataFields>
  <formats count="5">
    <format dxfId="103">
      <pivotArea field="6" type="button" dataOnly="0" labelOnly="1" outline="0" axis="axisPage" fieldPosition="0"/>
    </format>
    <format dxfId="104">
      <pivotArea field="6" type="button" dataOnly="0" labelOnly="1" outline="0" axis="axisPage" fieldPosition="0"/>
    </format>
    <format dxfId="105">
      <pivotArea dataOnly="0" labelOnly="1" outline="0" axis="axisValues" fieldPosition="0"/>
    </format>
    <format dxfId="106">
      <pivotArea dataOnly="0" labelOnly="1" outline="0" axis="axisValues" fieldPosition="0"/>
    </format>
    <format dxfId="10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Tabela dinâmica1" cacheId="25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265" firstHeaderRow="1" firstDataRow="1" firstDataCol="1"/>
  <pivotFields count="19">
    <pivotField axis="axisRow" showAll="0">
      <items count="262">
        <item x="66"/>
        <item x="155"/>
        <item x="165"/>
        <item x="115"/>
        <item x="163"/>
        <item x="140"/>
        <item x="50"/>
        <item x="142"/>
        <item x="224"/>
        <item x="129"/>
        <item x="177"/>
        <item x="22"/>
        <item x="254"/>
        <item x="146"/>
        <item x="180"/>
        <item x="106"/>
        <item x="28"/>
        <item x="184"/>
        <item x="17"/>
        <item x="78"/>
        <item x="127"/>
        <item x="213"/>
        <item x="133"/>
        <item x="24"/>
        <item x="215"/>
        <item x="181"/>
        <item x="54"/>
        <item x="183"/>
        <item x="11"/>
        <item x="26"/>
        <item x="89"/>
        <item x="131"/>
        <item x="225"/>
        <item x="62"/>
        <item x="15"/>
        <item x="73"/>
        <item x="151"/>
        <item x="116"/>
        <item x="211"/>
        <item x="111"/>
        <item x="209"/>
        <item x="193"/>
        <item x="38"/>
        <item x="130"/>
        <item x="39"/>
        <item x="58"/>
        <item x="161"/>
        <item x="98"/>
        <item x="187"/>
        <item x="14"/>
        <item x="86"/>
        <item x="118"/>
        <item x="143"/>
        <item x="135"/>
        <item x="20"/>
        <item x="203"/>
        <item x="21"/>
        <item x="65"/>
        <item x="138"/>
        <item x="123"/>
        <item x="74"/>
        <item x="173"/>
        <item x="136"/>
        <item x="128"/>
        <item x="70"/>
        <item x="57"/>
        <item x="46"/>
        <item x="125"/>
        <item x="166"/>
        <item x="175"/>
        <item x="7"/>
        <item x="29"/>
        <item x="192"/>
        <item x="101"/>
        <item x="197"/>
        <item x="87"/>
        <item x="214"/>
        <item x="212"/>
        <item x="44"/>
        <item x="176"/>
        <item x="144"/>
        <item x="201"/>
        <item x="120"/>
        <item x="75"/>
        <item x="84"/>
        <item x="141"/>
        <item x="93"/>
        <item x="230"/>
        <item x="30"/>
        <item x="112"/>
        <item x="88"/>
        <item x="226"/>
        <item x="196"/>
        <item x="41"/>
        <item x="204"/>
        <item x="52"/>
        <item x="121"/>
        <item x="80"/>
        <item x="4"/>
        <item x="69"/>
        <item x="220"/>
        <item x="218"/>
        <item x="234"/>
        <item x="227"/>
        <item x="153"/>
        <item x="13"/>
        <item x="191"/>
        <item x="16"/>
        <item x="64"/>
        <item x="3"/>
        <item x="55"/>
        <item x="108"/>
        <item x="61"/>
        <item x="157"/>
        <item x="251"/>
        <item x="231"/>
        <item x="168"/>
        <item x="19"/>
        <item x="31"/>
        <item x="59"/>
        <item x="95"/>
        <item x="257"/>
        <item x="2"/>
        <item x="68"/>
        <item x="158"/>
        <item x="162"/>
        <item x="229"/>
        <item x="90"/>
        <item x="102"/>
        <item x="107"/>
        <item x="178"/>
        <item x="53"/>
        <item x="94"/>
        <item x="1"/>
        <item x="221"/>
        <item x="222"/>
        <item x="210"/>
        <item x="97"/>
        <item x="145"/>
        <item x="23"/>
        <item x="239"/>
        <item x="137"/>
        <item x="85"/>
        <item x="18"/>
        <item x="172"/>
        <item x="189"/>
        <item x="117"/>
        <item x="10"/>
        <item x="8"/>
        <item x="0"/>
        <item x="48"/>
        <item x="149"/>
        <item x="150"/>
        <item x="6"/>
        <item x="208"/>
        <item x="252"/>
        <item x="45"/>
        <item x="43"/>
        <item x="32"/>
        <item x="49"/>
        <item x="182"/>
        <item x="164"/>
        <item x="216"/>
        <item x="82"/>
        <item x="92"/>
        <item x="167"/>
        <item x="199"/>
        <item x="77"/>
        <item x="25"/>
        <item x="174"/>
        <item x="34"/>
        <item x="37"/>
        <item x="113"/>
        <item x="33"/>
        <item x="110"/>
        <item x="122"/>
        <item x="237"/>
        <item x="124"/>
        <item x="139"/>
        <item x="202"/>
        <item x="96"/>
        <item x="148"/>
        <item x="9"/>
        <item x="100"/>
        <item x="198"/>
        <item x="27"/>
        <item x="76"/>
        <item x="109"/>
        <item x="99"/>
        <item x="159"/>
        <item x="119"/>
        <item x="147"/>
        <item x="42"/>
        <item x="51"/>
        <item x="79"/>
        <item x="235"/>
        <item x="190"/>
        <item x="126"/>
        <item x="195"/>
        <item x="259"/>
        <item x="260"/>
        <item x="185"/>
        <item x="67"/>
        <item x="154"/>
        <item x="188"/>
        <item x="240"/>
        <item x="35"/>
        <item x="12"/>
        <item x="160"/>
        <item x="241"/>
        <item x="246"/>
        <item x="60"/>
        <item x="83"/>
        <item x="223"/>
        <item x="249"/>
        <item x="236"/>
        <item x="81"/>
        <item x="156"/>
        <item x="152"/>
        <item x="207"/>
        <item x="63"/>
        <item x="245"/>
        <item x="72"/>
        <item x="258"/>
        <item x="219"/>
        <item x="217"/>
        <item x="40"/>
        <item x="171"/>
        <item x="104"/>
        <item x="238"/>
        <item x="114"/>
        <item x="170"/>
        <item x="132"/>
        <item x="71"/>
        <item x="232"/>
        <item x="91"/>
        <item x="233"/>
        <item x="247"/>
        <item x="179"/>
        <item x="47"/>
        <item x="36"/>
        <item x="5"/>
        <item x="134"/>
        <item x="205"/>
        <item x="194"/>
        <item x="256"/>
        <item x="248"/>
        <item x="242"/>
        <item x="206"/>
        <item x="200"/>
        <item x="105"/>
        <item x="253"/>
        <item x="250"/>
        <item x="169"/>
        <item x="56"/>
        <item x="228"/>
        <item x="243"/>
        <item x="244"/>
        <item x="186"/>
        <item x="103"/>
        <item x="2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 t="grand">
      <x/>
    </i>
  </rowItems>
  <colItems count="1">
    <i/>
  </colItems>
  <dataFields count="1">
    <dataField name="Soma de Total_Product_Amount" fld="9" baseField="0" baseItem="0" numFmtId="169"/>
  </dataFields>
  <formats count="13">
    <format dxfId="86">
      <pivotArea outline="0" collapsedLevelsAreSubtotals="1" fieldPosition="0"/>
    </format>
    <format dxfId="87">
      <pivotArea dataOnly="0" labelOnly="1" outline="0" axis="axisValues" fieldPosition="0"/>
    </format>
    <format dxfId="88">
      <pivotArea dataOnly="0" labelOnly="1" outline="0" axis="axisValues" fieldPosition="0"/>
    </format>
    <format dxfId="89">
      <pivotArea collapsedLevelsAreSubtotals="1" fieldPosition="0">
        <references count="1">
          <reference field="0" count="1">
            <x v="1"/>
          </reference>
        </references>
      </pivotArea>
    </format>
    <format dxfId="90">
      <pivotArea collapsedLevelsAreSubtotals="1" fieldPosition="0">
        <references count="1">
          <reference field="0" count="1">
            <x v="1"/>
          </reference>
        </references>
      </pivotArea>
    </format>
    <format dxfId="91">
      <pivotArea collapsedLevelsAreSubtotals="1" fieldPosition="0">
        <references count="1">
          <reference field="0" count="1">
            <x v="1"/>
          </reference>
        </references>
      </pivotArea>
    </format>
    <format dxfId="92">
      <pivotArea collapsedLevelsAreSubtotals="1" fieldPosition="0">
        <references count="1">
          <reference field="0" count="1">
            <x v="1"/>
          </reference>
        </references>
      </pivotArea>
    </format>
    <format dxfId="93">
      <pivotArea collapsedLevelsAreSubtotals="1" fieldPosition="0">
        <references count="1">
          <reference field="0" count="1">
            <x v="1"/>
          </reference>
        </references>
      </pivotArea>
    </format>
    <format dxfId="94">
      <pivotArea collapsedLevelsAreSubtotals="1" fieldPosition="0">
        <references count="1">
          <reference field="0" count="1">
            <x v="1"/>
          </reference>
        </references>
      </pivotArea>
    </format>
    <format dxfId="95">
      <pivotArea collapsedLevelsAreSubtotals="1" fieldPosition="0">
        <references count="1">
          <reference field="0" count="1">
            <x v="1"/>
          </reference>
        </references>
      </pivotArea>
    </format>
    <format dxfId="96">
      <pivotArea collapsedLevelsAreSubtotals="1" fieldPosition="0">
        <references count="1">
          <reference field="0" count="1">
            <x v="1"/>
          </reference>
        </references>
      </pivotArea>
    </format>
    <format dxfId="97">
      <pivotArea collapsedLevelsAreSubtotals="1" fieldPosition="0">
        <references count="1">
          <reference field="0" count="1">
            <x v="1"/>
          </reference>
        </references>
      </pivotArea>
    </format>
    <format dxfId="98">
      <pivotArea collapsedLevelsAreSubtotals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4"/>
  <sheetViews>
    <sheetView tabSelected="1" zoomScale="68" zoomScaleNormal="48" workbookViewId="0">
      <pane ySplit="1" topLeftCell="A2" activePane="bottomLeft" state="frozen"/>
      <selection pane="bottomLeft" activeCell="W1" sqref="W1"/>
    </sheetView>
  </sheetViews>
  <sheetFormatPr defaultRowHeight="14.4"/>
  <cols>
    <col min="1" max="1" width="16" customWidth="1"/>
    <col min="2" max="2" width="12" customWidth="1"/>
    <col min="3" max="3" width="22" customWidth="1"/>
    <col min="4" max="4" width="19" customWidth="1"/>
    <col min="5" max="5" width="40" customWidth="1"/>
    <col min="6" max="6" width="27" customWidth="1"/>
    <col min="7" max="7" width="24" customWidth="1"/>
    <col min="8" max="8" width="21.44140625" customWidth="1"/>
    <col min="9" max="9" width="17" customWidth="1"/>
    <col min="10" max="10" width="22" customWidth="1"/>
    <col min="11" max="11" width="14.6640625" customWidth="1"/>
    <col min="12" max="12" width="40" customWidth="1"/>
    <col min="13" max="13" width="21.88671875" style="20" customWidth="1"/>
    <col min="14" max="14" width="22.6640625" style="5" customWidth="1"/>
    <col min="15" max="15" width="40" customWidth="1"/>
    <col min="16" max="17" width="16" customWidth="1"/>
    <col min="18" max="18" width="24" customWidth="1"/>
    <col min="19" max="19" width="40.5546875" customWidth="1"/>
    <col min="20" max="20" width="41.77734375" customWidth="1"/>
    <col min="21" max="21" width="38" customWidth="1"/>
    <col min="22" max="22" width="30.44140625" style="26" customWidth="1"/>
    <col min="23" max="23" width="39.77734375" style="26" customWidth="1"/>
    <col min="24" max="24" width="40.6640625" customWidth="1"/>
    <col min="25" max="25" width="31.109375" customWidth="1"/>
    <col min="26" max="26" width="22.55468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8" t="s">
        <v>12</v>
      </c>
      <c r="N1" s="27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1004</v>
      </c>
      <c r="T1" s="2" t="s">
        <v>1021</v>
      </c>
      <c r="U1" s="2" t="s">
        <v>1078</v>
      </c>
      <c r="V1" s="25" t="s">
        <v>1079</v>
      </c>
      <c r="W1" s="30" t="s">
        <v>1080</v>
      </c>
    </row>
    <row r="2" spans="1:26">
      <c r="A2" t="s">
        <v>634</v>
      </c>
      <c r="B2" t="s">
        <v>448</v>
      </c>
      <c r="C2" t="s">
        <v>449</v>
      </c>
      <c r="D2" t="s">
        <v>328</v>
      </c>
      <c r="E2" t="s">
        <v>635</v>
      </c>
      <c r="F2" t="s">
        <v>23</v>
      </c>
      <c r="G2" t="s">
        <v>24</v>
      </c>
      <c r="H2">
        <v>601599.48</v>
      </c>
      <c r="I2" t="s">
        <v>25</v>
      </c>
      <c r="J2">
        <v>95637.84</v>
      </c>
      <c r="K2" t="s">
        <v>25</v>
      </c>
      <c r="L2" t="s">
        <v>104</v>
      </c>
      <c r="M2" s="20">
        <v>46142</v>
      </c>
      <c r="N2" s="20">
        <v>46079</v>
      </c>
      <c r="O2" t="s">
        <v>27</v>
      </c>
      <c r="P2" t="s">
        <v>1018</v>
      </c>
      <c r="Q2" t="s">
        <v>636</v>
      </c>
      <c r="R2" t="s">
        <v>29</v>
      </c>
      <c r="S2" t="s">
        <v>1012</v>
      </c>
      <c r="T2" t="str">
        <f>IF(OR(F2="Project - Competitive",F2="Project - Not Competitive"),"New Business","Upsell")</f>
        <v>Upsell</v>
      </c>
      <c r="U2" t="str">
        <f>TEXT(M2,"mm/aaaa")</f>
        <v>04/2026</v>
      </c>
      <c r="V2" t="str">
        <f>IF(AND(G2="Closed Won",M2&gt;N2),M2-N2,"")</f>
        <v/>
      </c>
      <c r="W2" s="26">
        <f ca="1">IF(G2&lt;&gt;"Closed Won",MAX(0,TODAY()-N2),"")</f>
        <v>59</v>
      </c>
      <c r="X2" s="26"/>
    </row>
    <row r="3" spans="1:26">
      <c r="A3" t="s">
        <v>574</v>
      </c>
      <c r="B3" t="s">
        <v>124</v>
      </c>
      <c r="C3" t="s">
        <v>125</v>
      </c>
      <c r="D3" t="s">
        <v>126</v>
      </c>
      <c r="E3" t="s">
        <v>318</v>
      </c>
      <c r="F3" t="s">
        <v>23</v>
      </c>
      <c r="G3" t="s">
        <v>119</v>
      </c>
      <c r="H3">
        <v>1429074.08</v>
      </c>
      <c r="I3" t="s">
        <v>25</v>
      </c>
      <c r="J3">
        <v>510758.40000000002</v>
      </c>
      <c r="K3" t="s">
        <v>25</v>
      </c>
      <c r="L3" t="s">
        <v>104</v>
      </c>
      <c r="M3" s="20">
        <v>46171</v>
      </c>
      <c r="N3" s="20">
        <v>46066</v>
      </c>
      <c r="O3" t="s">
        <v>27</v>
      </c>
      <c r="P3" t="s">
        <v>1018</v>
      </c>
      <c r="Q3" t="s">
        <v>164</v>
      </c>
      <c r="R3" t="s">
        <v>29</v>
      </c>
      <c r="S3" t="s">
        <v>1012</v>
      </c>
      <c r="T3" t="str">
        <f>IF(OR(F3="Project - Competitive",F3="Project - Not Competitive"),"New Business","Upsell")</f>
        <v>Upsell</v>
      </c>
      <c r="U3" t="str">
        <f>TEXT(M3,"mm/aaaa")</f>
        <v>05/2026</v>
      </c>
      <c r="V3" t="str">
        <f t="shared" ref="V3:V66" si="0">IF(AND(G3="Closed Won",M3&gt;N3),M3-N3,"")</f>
        <v/>
      </c>
      <c r="W3" s="26">
        <f t="shared" ref="W3:W66" ca="1" si="1">IF(G3&lt;&gt;"Closed Won",MAX(0,TODAY()-N3),"")</f>
        <v>72</v>
      </c>
    </row>
    <row r="4" spans="1:26">
      <c r="A4" t="s">
        <v>536</v>
      </c>
      <c r="B4" t="s">
        <v>537</v>
      </c>
      <c r="C4" t="s">
        <v>1061</v>
      </c>
      <c r="D4" t="s">
        <v>298</v>
      </c>
      <c r="E4" t="s">
        <v>1042</v>
      </c>
      <c r="F4" t="s">
        <v>49</v>
      </c>
      <c r="G4" t="s">
        <v>40</v>
      </c>
      <c r="H4">
        <v>50514.15</v>
      </c>
      <c r="I4" t="s">
        <v>25</v>
      </c>
      <c r="J4">
        <v>50514.15</v>
      </c>
      <c r="K4" t="s">
        <v>25</v>
      </c>
      <c r="L4" t="s">
        <v>104</v>
      </c>
      <c r="M4" s="20">
        <v>46107</v>
      </c>
      <c r="N4" s="20">
        <v>46175</v>
      </c>
      <c r="O4" t="s">
        <v>355</v>
      </c>
      <c r="P4" t="s">
        <v>1018</v>
      </c>
      <c r="Q4" t="s">
        <v>451</v>
      </c>
      <c r="R4" t="s">
        <v>538</v>
      </c>
      <c r="S4" t="s">
        <v>1016</v>
      </c>
      <c r="T4" t="str">
        <f>IF(OR(F4="Project - Competitive",F4="Project - Not Competitive"),"New Business","Upsell")</f>
        <v>New Business</v>
      </c>
      <c r="U4" t="str">
        <f>TEXT(M4,"mm/aaaa")</f>
        <v>03/2026</v>
      </c>
      <c r="V4" t="str">
        <f t="shared" si="0"/>
        <v/>
      </c>
      <c r="W4" s="26" t="str">
        <f t="shared" ca="1" si="1"/>
        <v/>
      </c>
    </row>
    <row r="5" spans="1:26">
      <c r="A5" t="s">
        <v>493</v>
      </c>
      <c r="B5" t="s">
        <v>494</v>
      </c>
      <c r="C5" t="s">
        <v>495</v>
      </c>
      <c r="D5" t="s">
        <v>126</v>
      </c>
      <c r="E5" t="s">
        <v>497</v>
      </c>
      <c r="F5" t="s">
        <v>23</v>
      </c>
      <c r="G5" t="s">
        <v>119</v>
      </c>
      <c r="H5">
        <v>4565828.57</v>
      </c>
      <c r="I5" t="s">
        <v>25</v>
      </c>
      <c r="J5">
        <v>443593.21</v>
      </c>
      <c r="K5" t="s">
        <v>25</v>
      </c>
      <c r="L5" t="s">
        <v>104</v>
      </c>
      <c r="M5" s="20">
        <v>46203</v>
      </c>
      <c r="N5" s="20">
        <v>46048</v>
      </c>
      <c r="O5" t="s">
        <v>27</v>
      </c>
      <c r="P5" t="s">
        <v>58</v>
      </c>
      <c r="Q5" t="s">
        <v>164</v>
      </c>
      <c r="R5" t="s">
        <v>29</v>
      </c>
      <c r="S5" t="s">
        <v>1012</v>
      </c>
      <c r="T5" t="str">
        <f>IF(OR(F5="Project - Competitive",F5="Project - Not Competitive"),"New Business","Upsell")</f>
        <v>Upsell</v>
      </c>
      <c r="U5" t="str">
        <f>TEXT(M5,"mm/aaaa")</f>
        <v>06/2026</v>
      </c>
      <c r="V5" t="str">
        <f t="shared" si="0"/>
        <v/>
      </c>
      <c r="W5" s="26">
        <f t="shared" ca="1" si="1"/>
        <v>90</v>
      </c>
    </row>
    <row r="6" spans="1:26">
      <c r="A6" t="s">
        <v>493</v>
      </c>
      <c r="B6" t="s">
        <v>494</v>
      </c>
      <c r="C6" t="s">
        <v>495</v>
      </c>
      <c r="D6" t="s">
        <v>126</v>
      </c>
      <c r="E6" t="s">
        <v>497</v>
      </c>
      <c r="F6" t="s">
        <v>23</v>
      </c>
      <c r="G6" t="s">
        <v>119</v>
      </c>
      <c r="H6">
        <v>4565828.57</v>
      </c>
      <c r="I6" t="s">
        <v>25</v>
      </c>
      <c r="J6">
        <v>328515</v>
      </c>
      <c r="K6" t="s">
        <v>25</v>
      </c>
      <c r="L6" t="s">
        <v>104</v>
      </c>
      <c r="M6" s="20">
        <v>46203</v>
      </c>
      <c r="N6" s="20">
        <v>46048</v>
      </c>
      <c r="O6" t="s">
        <v>27</v>
      </c>
      <c r="P6" t="s">
        <v>58</v>
      </c>
      <c r="Q6" t="s">
        <v>164</v>
      </c>
      <c r="R6" t="s">
        <v>29</v>
      </c>
      <c r="S6" t="s">
        <v>1012</v>
      </c>
      <c r="T6" t="str">
        <f>IF(OR(F6="Project - Competitive",F6="Project - Not Competitive"),"New Business","Upsell")</f>
        <v>Upsell</v>
      </c>
      <c r="U6" t="str">
        <f>TEXT(M6,"mm/aaaa")</f>
        <v>06/2026</v>
      </c>
      <c r="V6" t="str">
        <f t="shared" si="0"/>
        <v/>
      </c>
      <c r="W6" s="26">
        <f t="shared" ca="1" si="1"/>
        <v>90</v>
      </c>
    </row>
    <row r="7" spans="1:26">
      <c r="A7" t="s">
        <v>462</v>
      </c>
      <c r="B7" t="s">
        <v>463</v>
      </c>
      <c r="C7" t="s">
        <v>464</v>
      </c>
      <c r="D7" t="s">
        <v>298</v>
      </c>
      <c r="E7" t="s">
        <v>466</v>
      </c>
      <c r="F7" t="s">
        <v>39</v>
      </c>
      <c r="G7" t="s">
        <v>40</v>
      </c>
      <c r="H7">
        <v>4293965.2399999993</v>
      </c>
      <c r="I7" t="s">
        <v>25</v>
      </c>
      <c r="J7">
        <v>526427.28</v>
      </c>
      <c r="K7" t="s">
        <v>25</v>
      </c>
      <c r="L7" t="s">
        <v>104</v>
      </c>
      <c r="M7" s="20">
        <v>46080</v>
      </c>
      <c r="N7" s="20">
        <v>46042</v>
      </c>
      <c r="O7" t="s">
        <v>149</v>
      </c>
      <c r="P7" t="s">
        <v>1018</v>
      </c>
      <c r="Q7" t="s">
        <v>88</v>
      </c>
      <c r="R7" t="s">
        <v>29</v>
      </c>
      <c r="S7" t="s">
        <v>1015</v>
      </c>
      <c r="T7" t="str">
        <f>IF(OR(F7="Project - Competitive",F7="Project - Not Competitive"),"New Business","Upsell")</f>
        <v>New Business</v>
      </c>
      <c r="U7" t="str">
        <f>TEXT(M7,"mm/aaaa")</f>
        <v>02/2026</v>
      </c>
      <c r="V7">
        <f t="shared" si="0"/>
        <v>38</v>
      </c>
      <c r="W7" s="26" t="str">
        <f t="shared" ca="1" si="1"/>
        <v/>
      </c>
    </row>
    <row r="8" spans="1:26">
      <c r="A8" t="s">
        <v>927</v>
      </c>
      <c r="B8" t="s">
        <v>928</v>
      </c>
      <c r="C8" t="s">
        <v>929</v>
      </c>
      <c r="D8" t="s">
        <v>298</v>
      </c>
      <c r="E8" t="s">
        <v>931</v>
      </c>
      <c r="F8" t="s">
        <v>39</v>
      </c>
      <c r="G8" t="s">
        <v>119</v>
      </c>
      <c r="H8">
        <v>877063.2</v>
      </c>
      <c r="I8" t="s">
        <v>25</v>
      </c>
      <c r="J8">
        <v>460392</v>
      </c>
      <c r="K8" t="s">
        <v>25</v>
      </c>
      <c r="L8" t="s">
        <v>104</v>
      </c>
      <c r="M8" s="20">
        <v>46203</v>
      </c>
      <c r="N8" s="20">
        <v>46299</v>
      </c>
      <c r="O8" t="s">
        <v>314</v>
      </c>
      <c r="P8" t="s">
        <v>58</v>
      </c>
      <c r="Q8" t="s">
        <v>165</v>
      </c>
      <c r="R8" t="s">
        <v>29</v>
      </c>
      <c r="S8" t="s">
        <v>1016</v>
      </c>
      <c r="T8" t="str">
        <f>IF(OR(F8="Project - Competitive",F8="Project - Not Competitive"),"New Business","Upsell")</f>
        <v>New Business</v>
      </c>
      <c r="U8" t="str">
        <f>TEXT(M8,"mm/aaaa")</f>
        <v>06/2026</v>
      </c>
      <c r="V8" t="str">
        <f t="shared" si="0"/>
        <v/>
      </c>
      <c r="W8" s="26">
        <f t="shared" ca="1" si="1"/>
        <v>0</v>
      </c>
    </row>
    <row r="9" spans="1:26">
      <c r="A9" t="s">
        <v>649</v>
      </c>
      <c r="B9" t="s">
        <v>650</v>
      </c>
      <c r="C9" t="s">
        <v>651</v>
      </c>
      <c r="D9" t="s">
        <v>37</v>
      </c>
      <c r="E9" t="s">
        <v>652</v>
      </c>
      <c r="F9" t="s">
        <v>39</v>
      </c>
      <c r="G9" t="s">
        <v>119</v>
      </c>
      <c r="H9">
        <v>2344909.7999999998</v>
      </c>
      <c r="I9" t="s">
        <v>25</v>
      </c>
      <c r="J9">
        <v>853158.72</v>
      </c>
      <c r="K9" t="s">
        <v>25</v>
      </c>
      <c r="L9" t="s">
        <v>104</v>
      </c>
      <c r="M9" s="20">
        <v>46171</v>
      </c>
      <c r="N9" s="20">
        <v>46080</v>
      </c>
      <c r="O9" t="s">
        <v>135</v>
      </c>
      <c r="P9" t="s">
        <v>58</v>
      </c>
      <c r="Q9" t="s">
        <v>446</v>
      </c>
      <c r="R9" t="s">
        <v>29</v>
      </c>
      <c r="S9" t="s">
        <v>1014</v>
      </c>
      <c r="T9" t="str">
        <f>IF(OR(F9="Project - Competitive",F9="Project - Not Competitive"),"New Business","Upsell")</f>
        <v>New Business</v>
      </c>
      <c r="U9" t="str">
        <f>TEXT(M9,"mm/aaaa")</f>
        <v>05/2026</v>
      </c>
      <c r="V9" t="str">
        <f t="shared" si="0"/>
        <v/>
      </c>
      <c r="W9" s="26">
        <f t="shared" ca="1" si="1"/>
        <v>58</v>
      </c>
      <c r="Y9" s="31"/>
      <c r="Z9" s="31"/>
    </row>
    <row r="10" spans="1:26">
      <c r="A10" t="s">
        <v>649</v>
      </c>
      <c r="B10" t="s">
        <v>650</v>
      </c>
      <c r="C10" t="s">
        <v>651</v>
      </c>
      <c r="D10" t="s">
        <v>37</v>
      </c>
      <c r="E10" t="s">
        <v>652</v>
      </c>
      <c r="F10" t="s">
        <v>39</v>
      </c>
      <c r="G10" t="s">
        <v>119</v>
      </c>
      <c r="H10">
        <v>2344909.7999999998</v>
      </c>
      <c r="I10" t="s">
        <v>25</v>
      </c>
      <c r="J10">
        <v>211859.76</v>
      </c>
      <c r="K10" t="s">
        <v>25</v>
      </c>
      <c r="L10" t="s">
        <v>104</v>
      </c>
      <c r="M10" s="20">
        <v>46171</v>
      </c>
      <c r="N10" s="20">
        <v>46080</v>
      </c>
      <c r="O10" t="s">
        <v>135</v>
      </c>
      <c r="P10" t="s">
        <v>58</v>
      </c>
      <c r="Q10" t="s">
        <v>446</v>
      </c>
      <c r="R10" t="s">
        <v>29</v>
      </c>
      <c r="S10" t="s">
        <v>1014</v>
      </c>
      <c r="T10" t="str">
        <f>IF(OR(F10="Project - Competitive",F10="Project - Not Competitive"),"New Business","Upsell")</f>
        <v>New Business</v>
      </c>
      <c r="U10" t="str">
        <f>TEXT(M10,"mm/aaaa")</f>
        <v>05/2026</v>
      </c>
      <c r="V10" t="str">
        <f t="shared" si="0"/>
        <v/>
      </c>
      <c r="W10" s="26">
        <f t="shared" ca="1" si="1"/>
        <v>58</v>
      </c>
    </row>
    <row r="11" spans="1:26" ht="14.4" customHeight="1">
      <c r="A11" t="s">
        <v>384</v>
      </c>
      <c r="B11" t="s">
        <v>385</v>
      </c>
      <c r="C11" t="s">
        <v>386</v>
      </c>
      <c r="D11" t="s">
        <v>21</v>
      </c>
      <c r="E11" t="s">
        <v>388</v>
      </c>
      <c r="F11" t="s">
        <v>23</v>
      </c>
      <c r="G11" t="s">
        <v>40</v>
      </c>
      <c r="H11">
        <v>1818447</v>
      </c>
      <c r="I11" t="s">
        <v>25</v>
      </c>
      <c r="J11">
        <v>270000</v>
      </c>
      <c r="K11" t="s">
        <v>25</v>
      </c>
      <c r="L11" t="s">
        <v>104</v>
      </c>
      <c r="M11" s="20">
        <v>46105</v>
      </c>
      <c r="N11" s="20">
        <v>46006</v>
      </c>
      <c r="O11" t="s">
        <v>27</v>
      </c>
      <c r="P11" t="s">
        <v>1018</v>
      </c>
      <c r="Q11" t="s">
        <v>356</v>
      </c>
      <c r="R11" t="s">
        <v>106</v>
      </c>
      <c r="S11" t="s">
        <v>1012</v>
      </c>
      <c r="T11" t="str">
        <f>IF(OR(F11="Project - Competitive",F11="Project - Not Competitive"),"New Business","Upsell")</f>
        <v>Upsell</v>
      </c>
      <c r="U11" t="str">
        <f>TEXT(M11,"mm/aaaa")</f>
        <v>03/2026</v>
      </c>
      <c r="V11">
        <f t="shared" si="0"/>
        <v>99</v>
      </c>
      <c r="W11" s="26" t="str">
        <f t="shared" ca="1" si="1"/>
        <v/>
      </c>
    </row>
    <row r="12" spans="1:26" ht="14.4" customHeight="1">
      <c r="A12" t="s">
        <v>633</v>
      </c>
      <c r="B12" t="s">
        <v>385</v>
      </c>
      <c r="C12" t="s">
        <v>386</v>
      </c>
      <c r="D12" t="s">
        <v>21</v>
      </c>
      <c r="E12" t="s">
        <v>389</v>
      </c>
      <c r="F12" t="s">
        <v>23</v>
      </c>
      <c r="G12" t="s">
        <v>24</v>
      </c>
      <c r="H12">
        <v>646888.19999999995</v>
      </c>
      <c r="I12" t="s">
        <v>25</v>
      </c>
      <c r="J12">
        <v>646888.19999999995</v>
      </c>
      <c r="K12" t="s">
        <v>25</v>
      </c>
      <c r="L12" t="s">
        <v>104</v>
      </c>
      <c r="M12" s="20">
        <v>46142</v>
      </c>
      <c r="N12" s="20">
        <v>46076</v>
      </c>
      <c r="O12" t="s">
        <v>27</v>
      </c>
      <c r="P12" t="s">
        <v>1018</v>
      </c>
      <c r="Q12" t="s">
        <v>106</v>
      </c>
      <c r="R12" t="s">
        <v>29</v>
      </c>
      <c r="S12" t="s">
        <v>1012</v>
      </c>
      <c r="T12" t="str">
        <f>IF(OR(F12="Project - Competitive",F12="Project - Not Competitive"),"New Business","Upsell")</f>
        <v>Upsell</v>
      </c>
      <c r="U12" t="str">
        <f>TEXT(M12,"mm/aaaa")</f>
        <v>04/2026</v>
      </c>
      <c r="V12" t="str">
        <f t="shared" si="0"/>
        <v/>
      </c>
      <c r="W12" s="26">
        <f t="shared" ca="1" si="1"/>
        <v>62</v>
      </c>
    </row>
    <row r="13" spans="1:26" ht="14.4" customHeight="1">
      <c r="A13" t="s">
        <v>762</v>
      </c>
      <c r="B13" t="s">
        <v>385</v>
      </c>
      <c r="C13" t="s">
        <v>386</v>
      </c>
      <c r="D13" t="s">
        <v>21</v>
      </c>
      <c r="E13" t="s">
        <v>632</v>
      </c>
      <c r="F13" t="s">
        <v>23</v>
      </c>
      <c r="G13" t="s">
        <v>66</v>
      </c>
      <c r="H13">
        <v>296000</v>
      </c>
      <c r="I13" t="s">
        <v>25</v>
      </c>
      <c r="J13">
        <v>166000</v>
      </c>
      <c r="K13" t="s">
        <v>25</v>
      </c>
      <c r="L13" t="s">
        <v>104</v>
      </c>
      <c r="M13" s="20">
        <v>46173</v>
      </c>
      <c r="N13" s="20">
        <v>46095</v>
      </c>
      <c r="O13" t="s">
        <v>27</v>
      </c>
      <c r="P13" t="s">
        <v>1018</v>
      </c>
      <c r="Q13" t="s">
        <v>472</v>
      </c>
      <c r="R13" t="s">
        <v>122</v>
      </c>
      <c r="S13" t="s">
        <v>1012</v>
      </c>
      <c r="T13" t="str">
        <f>IF(OR(F13="Project - Competitive",F13="Project - Not Competitive"),"New Business","Upsell")</f>
        <v>Upsell</v>
      </c>
      <c r="U13" t="str">
        <f>TEXT(M13,"mm/aaaa")</f>
        <v>05/2026</v>
      </c>
      <c r="V13" t="str">
        <f t="shared" si="0"/>
        <v/>
      </c>
      <c r="W13" s="26">
        <f t="shared" ca="1" si="1"/>
        <v>43</v>
      </c>
    </row>
    <row r="14" spans="1:26" ht="14.4" customHeight="1">
      <c r="A14" t="s">
        <v>631</v>
      </c>
      <c r="B14" t="s">
        <v>385</v>
      </c>
      <c r="C14" t="s">
        <v>386</v>
      </c>
      <c r="D14" t="s">
        <v>21</v>
      </c>
      <c r="E14" t="s">
        <v>660</v>
      </c>
      <c r="F14" t="s">
        <v>82</v>
      </c>
      <c r="G14" t="s">
        <v>24</v>
      </c>
      <c r="H14">
        <v>2281464.96</v>
      </c>
      <c r="I14" t="s">
        <v>25</v>
      </c>
      <c r="J14">
        <v>2281464.96</v>
      </c>
      <c r="K14" t="s">
        <v>25</v>
      </c>
      <c r="L14" t="s">
        <v>104</v>
      </c>
      <c r="M14" s="20">
        <v>46142</v>
      </c>
      <c r="N14" s="20">
        <v>46076</v>
      </c>
      <c r="O14" t="s">
        <v>27</v>
      </c>
      <c r="P14" t="s">
        <v>1018</v>
      </c>
      <c r="Q14" t="s">
        <v>106</v>
      </c>
      <c r="R14" t="s">
        <v>29</v>
      </c>
      <c r="S14" t="s">
        <v>1012</v>
      </c>
      <c r="T14" t="str">
        <f>IF(OR(F14="Project - Competitive",F14="Project - Not Competitive"),"New Business","Upsell")</f>
        <v>Upsell</v>
      </c>
      <c r="U14" t="str">
        <f>TEXT(M14,"mm/aaaa")</f>
        <v>04/2026</v>
      </c>
      <c r="V14" t="str">
        <f t="shared" si="0"/>
        <v/>
      </c>
      <c r="W14" s="26">
        <f t="shared" ca="1" si="1"/>
        <v>62</v>
      </c>
    </row>
    <row r="15" spans="1:26" ht="14.4" customHeight="1">
      <c r="A15" t="s">
        <v>196</v>
      </c>
      <c r="B15" t="s">
        <v>197</v>
      </c>
      <c r="C15" t="s">
        <v>1062</v>
      </c>
      <c r="D15" t="s">
        <v>110</v>
      </c>
      <c r="E15" t="s">
        <v>1044</v>
      </c>
      <c r="F15" t="s">
        <v>23</v>
      </c>
      <c r="G15" t="s">
        <v>40</v>
      </c>
      <c r="H15">
        <v>1653085.7999999998</v>
      </c>
      <c r="I15" t="s">
        <v>25</v>
      </c>
      <c r="J15">
        <v>732711.84</v>
      </c>
      <c r="K15" t="s">
        <v>25</v>
      </c>
      <c r="L15" t="s">
        <v>104</v>
      </c>
      <c r="M15" s="20">
        <v>46125</v>
      </c>
      <c r="N15" s="20">
        <v>45954</v>
      </c>
      <c r="O15" t="s">
        <v>27</v>
      </c>
      <c r="P15" t="s">
        <v>1018</v>
      </c>
      <c r="Q15" t="s">
        <v>73</v>
      </c>
      <c r="R15" t="s">
        <v>198</v>
      </c>
      <c r="S15" t="s">
        <v>1012</v>
      </c>
      <c r="T15" t="str">
        <f>IF(OR(F15="Project - Competitive",F15="Project - Not Competitive"),"New Business","Upsell")</f>
        <v>Upsell</v>
      </c>
      <c r="U15" t="str">
        <f>TEXT(M15,"mm/aaaa")</f>
        <v>04/2026</v>
      </c>
      <c r="V15">
        <f t="shared" si="0"/>
        <v>171</v>
      </c>
      <c r="W15" s="26" t="str">
        <f t="shared" ca="1" si="1"/>
        <v/>
      </c>
    </row>
    <row r="16" spans="1:26">
      <c r="A16" t="s">
        <v>840</v>
      </c>
      <c r="B16" t="s">
        <v>482</v>
      </c>
      <c r="C16" t="s">
        <v>483</v>
      </c>
      <c r="D16" t="s">
        <v>55</v>
      </c>
      <c r="E16" t="s">
        <v>748</v>
      </c>
      <c r="F16" t="s">
        <v>23</v>
      </c>
      <c r="G16" t="s">
        <v>119</v>
      </c>
      <c r="H16">
        <v>492000</v>
      </c>
      <c r="I16" t="s">
        <v>25</v>
      </c>
      <c r="J16">
        <v>492000</v>
      </c>
      <c r="K16" t="s">
        <v>25</v>
      </c>
      <c r="L16" t="s">
        <v>104</v>
      </c>
      <c r="M16" s="20">
        <v>46173</v>
      </c>
      <c r="N16" s="20">
        <v>46111</v>
      </c>
      <c r="O16" t="s">
        <v>1006</v>
      </c>
      <c r="P16" t="s">
        <v>1018</v>
      </c>
      <c r="Q16" t="s">
        <v>324</v>
      </c>
      <c r="R16" t="s">
        <v>29</v>
      </c>
      <c r="S16" t="s">
        <v>1012</v>
      </c>
      <c r="T16" t="str">
        <f>IF(OR(F16="Project - Competitive",F16="Project - Not Competitive"),"New Business","Upsell")</f>
        <v>Upsell</v>
      </c>
      <c r="U16" t="str">
        <f>TEXT(M16,"mm/aaaa")</f>
        <v>05/2026</v>
      </c>
      <c r="V16" t="str">
        <f t="shared" si="0"/>
        <v/>
      </c>
      <c r="W16" s="26">
        <f t="shared" ca="1" si="1"/>
        <v>27</v>
      </c>
    </row>
    <row r="17" spans="1:23">
      <c r="A17" t="s">
        <v>478</v>
      </c>
      <c r="B17" t="s">
        <v>378</v>
      </c>
      <c r="C17" t="s">
        <v>379</v>
      </c>
      <c r="D17" t="s">
        <v>95</v>
      </c>
      <c r="E17" t="s">
        <v>380</v>
      </c>
      <c r="F17" t="s">
        <v>23</v>
      </c>
      <c r="G17" t="s">
        <v>40</v>
      </c>
      <c r="H17">
        <v>77204.399999999994</v>
      </c>
      <c r="I17" t="s">
        <v>25</v>
      </c>
      <c r="J17">
        <v>77204.399999999994</v>
      </c>
      <c r="K17" t="s">
        <v>25</v>
      </c>
      <c r="L17" t="s">
        <v>104</v>
      </c>
      <c r="M17" s="20">
        <v>46145</v>
      </c>
      <c r="N17" s="20">
        <v>46044</v>
      </c>
      <c r="O17" t="s">
        <v>27</v>
      </c>
      <c r="P17" t="s">
        <v>58</v>
      </c>
      <c r="Q17" t="s">
        <v>480</v>
      </c>
      <c r="R17" t="s">
        <v>29</v>
      </c>
      <c r="S17" t="s">
        <v>1012</v>
      </c>
      <c r="T17" t="str">
        <f>IF(OR(F17="Project - Competitive",F17="Project - Not Competitive"),"New Business","Upsell")</f>
        <v>Upsell</v>
      </c>
      <c r="U17" t="str">
        <f>TEXT(M17,"mm/aaaa")</f>
        <v>05/2026</v>
      </c>
      <c r="V17">
        <f t="shared" si="0"/>
        <v>101</v>
      </c>
      <c r="W17" s="26" t="str">
        <f t="shared" ca="1" si="1"/>
        <v/>
      </c>
    </row>
    <row r="18" spans="1:23">
      <c r="A18" t="s">
        <v>300</v>
      </c>
      <c r="B18" t="s">
        <v>301</v>
      </c>
      <c r="C18" t="s">
        <v>1064</v>
      </c>
      <c r="D18" t="s">
        <v>203</v>
      </c>
      <c r="E18" t="s">
        <v>1049</v>
      </c>
      <c r="F18" t="s">
        <v>39</v>
      </c>
      <c r="G18" t="s">
        <v>66</v>
      </c>
      <c r="H18">
        <v>6208423.2000000002</v>
      </c>
      <c r="I18" t="s">
        <v>25</v>
      </c>
      <c r="J18">
        <v>1026107.52</v>
      </c>
      <c r="K18" t="s">
        <v>25</v>
      </c>
      <c r="L18" t="s">
        <v>104</v>
      </c>
      <c r="M18" s="20">
        <v>46155</v>
      </c>
      <c r="N18" s="20">
        <v>45987</v>
      </c>
      <c r="O18" t="s">
        <v>50</v>
      </c>
      <c r="P18" t="s">
        <v>58</v>
      </c>
      <c r="Q18" t="s">
        <v>97</v>
      </c>
      <c r="R18" t="s">
        <v>29</v>
      </c>
      <c r="S18" t="s">
        <v>1015</v>
      </c>
      <c r="T18" t="str">
        <f>IF(OR(F18="Project - Competitive",F18="Project - Not Competitive"),"New Business","Upsell")</f>
        <v>New Business</v>
      </c>
      <c r="U18" t="str">
        <f>TEXT(M18,"mm/aaaa")</f>
        <v>05/2026</v>
      </c>
      <c r="V18" t="str">
        <f t="shared" si="0"/>
        <v/>
      </c>
      <c r="W18" s="26">
        <f t="shared" ca="1" si="1"/>
        <v>151</v>
      </c>
    </row>
    <row r="19" spans="1:23">
      <c r="A19" t="s">
        <v>220</v>
      </c>
      <c r="B19" t="s">
        <v>221</v>
      </c>
      <c r="C19" t="s">
        <v>222</v>
      </c>
      <c r="D19" t="s">
        <v>47</v>
      </c>
      <c r="E19" t="s">
        <v>227</v>
      </c>
      <c r="F19" t="s">
        <v>39</v>
      </c>
      <c r="G19" t="s">
        <v>66</v>
      </c>
      <c r="H19">
        <v>286464</v>
      </c>
      <c r="I19" t="s">
        <v>25</v>
      </c>
      <c r="J19">
        <v>12000</v>
      </c>
      <c r="K19" t="s">
        <v>25</v>
      </c>
      <c r="L19" t="s">
        <v>104</v>
      </c>
      <c r="M19" s="20">
        <v>46202</v>
      </c>
      <c r="N19" s="20">
        <v>45727</v>
      </c>
      <c r="O19" t="s">
        <v>224</v>
      </c>
      <c r="P19" t="s">
        <v>1018</v>
      </c>
      <c r="Q19" t="s">
        <v>225</v>
      </c>
      <c r="R19" t="s">
        <v>226</v>
      </c>
      <c r="S19" t="s">
        <v>1013</v>
      </c>
      <c r="T19" t="str">
        <f>IF(OR(F19="Project - Competitive",F19="Project - Not Competitive"),"New Business","Upsell")</f>
        <v>New Business</v>
      </c>
      <c r="U19" t="str">
        <f>TEXT(M19,"mm/aaaa")</f>
        <v>06/2026</v>
      </c>
      <c r="V19" t="str">
        <f t="shared" si="0"/>
        <v/>
      </c>
      <c r="W19" s="26">
        <f t="shared" ca="1" si="1"/>
        <v>411</v>
      </c>
    </row>
    <row r="20" spans="1:23">
      <c r="A20" t="s">
        <v>486</v>
      </c>
      <c r="B20" t="s">
        <v>145</v>
      </c>
      <c r="C20" t="s">
        <v>146</v>
      </c>
      <c r="D20" t="s">
        <v>147</v>
      </c>
      <c r="E20" t="s">
        <v>148</v>
      </c>
      <c r="F20" t="s">
        <v>39</v>
      </c>
      <c r="G20" t="s">
        <v>40</v>
      </c>
      <c r="H20">
        <v>75753.77</v>
      </c>
      <c r="I20" t="s">
        <v>25</v>
      </c>
      <c r="J20">
        <v>75753.77</v>
      </c>
      <c r="K20" t="s">
        <v>25</v>
      </c>
      <c r="L20" t="s">
        <v>104</v>
      </c>
      <c r="M20" s="20">
        <v>46112</v>
      </c>
      <c r="N20" s="20">
        <v>46045</v>
      </c>
      <c r="O20" t="s">
        <v>149</v>
      </c>
      <c r="P20" t="s">
        <v>1018</v>
      </c>
      <c r="Q20" t="s">
        <v>83</v>
      </c>
      <c r="R20" t="s">
        <v>185</v>
      </c>
      <c r="S20" t="s">
        <v>1015</v>
      </c>
      <c r="T20" t="str">
        <f>IF(OR(F20="Project - Competitive",F20="Project - Not Competitive"),"New Business","Upsell")</f>
        <v>New Business</v>
      </c>
      <c r="U20" t="str">
        <f>TEXT(M20,"mm/aaaa")</f>
        <v>03/2026</v>
      </c>
      <c r="V20">
        <f t="shared" si="0"/>
        <v>67</v>
      </c>
      <c r="W20" s="26" t="str">
        <f t="shared" ca="1" si="1"/>
        <v/>
      </c>
    </row>
    <row r="21" spans="1:23">
      <c r="A21" t="s">
        <v>144</v>
      </c>
      <c r="B21" t="s">
        <v>145</v>
      </c>
      <c r="C21" t="s">
        <v>146</v>
      </c>
      <c r="D21" t="s">
        <v>298</v>
      </c>
      <c r="E21" t="s">
        <v>487</v>
      </c>
      <c r="F21" t="s">
        <v>49</v>
      </c>
      <c r="G21" t="s">
        <v>24</v>
      </c>
      <c r="H21">
        <v>42721.49</v>
      </c>
      <c r="I21" t="s">
        <v>25</v>
      </c>
      <c r="J21">
        <v>42721.49</v>
      </c>
      <c r="K21" t="s">
        <v>25</v>
      </c>
      <c r="L21" t="s">
        <v>104</v>
      </c>
      <c r="M21" s="20">
        <v>46331</v>
      </c>
      <c r="N21" s="20">
        <v>45667</v>
      </c>
      <c r="O21" t="s">
        <v>149</v>
      </c>
      <c r="P21" t="s">
        <v>1018</v>
      </c>
      <c r="Q21" t="s">
        <v>150</v>
      </c>
      <c r="R21" t="s">
        <v>60</v>
      </c>
      <c r="S21" t="s">
        <v>1015</v>
      </c>
      <c r="T21" t="str">
        <f>IF(OR(F21="Project - Competitive",F21="Project - Not Competitive"),"New Business","Upsell")</f>
        <v>New Business</v>
      </c>
      <c r="U21" t="str">
        <f>TEXT(M21,"mm/aaaa")</f>
        <v>11/2026</v>
      </c>
      <c r="V21" t="str">
        <f t="shared" si="0"/>
        <v/>
      </c>
      <c r="W21" s="26">
        <f t="shared" ca="1" si="1"/>
        <v>471</v>
      </c>
    </row>
    <row r="22" spans="1:23" ht="14.4" customHeight="1">
      <c r="A22" t="s">
        <v>614</v>
      </c>
      <c r="B22" t="s">
        <v>152</v>
      </c>
      <c r="C22" t="s">
        <v>153</v>
      </c>
      <c r="D22" t="s">
        <v>95</v>
      </c>
      <c r="E22" t="s">
        <v>616</v>
      </c>
      <c r="F22" t="s">
        <v>82</v>
      </c>
      <c r="G22" t="s">
        <v>66</v>
      </c>
      <c r="H22">
        <v>1926466.8</v>
      </c>
      <c r="I22" t="s">
        <v>25</v>
      </c>
      <c r="J22">
        <v>464061.12</v>
      </c>
      <c r="K22" t="s">
        <v>25</v>
      </c>
      <c r="L22" t="s">
        <v>104</v>
      </c>
      <c r="M22" s="20">
        <v>46173</v>
      </c>
      <c r="N22" s="20">
        <v>46073</v>
      </c>
      <c r="O22" t="s">
        <v>27</v>
      </c>
      <c r="P22" t="s">
        <v>1018</v>
      </c>
      <c r="Q22" t="s">
        <v>156</v>
      </c>
      <c r="R22" t="s">
        <v>29</v>
      </c>
      <c r="S22" t="s">
        <v>1012</v>
      </c>
      <c r="T22" t="str">
        <f>IF(OR(F22="Project - Competitive",F22="Project - Not Competitive"),"New Business","Upsell")</f>
        <v>Upsell</v>
      </c>
      <c r="U22" t="str">
        <f>TEXT(M22,"mm/aaaa")</f>
        <v>05/2026</v>
      </c>
      <c r="V22" t="str">
        <f t="shared" si="0"/>
        <v/>
      </c>
      <c r="W22" s="26">
        <f t="shared" ca="1" si="1"/>
        <v>65</v>
      </c>
    </row>
    <row r="23" spans="1:23">
      <c r="A23" t="s">
        <v>516</v>
      </c>
      <c r="B23" t="s">
        <v>517</v>
      </c>
      <c r="C23" t="s">
        <v>518</v>
      </c>
      <c r="D23" t="s">
        <v>102</v>
      </c>
      <c r="E23" t="s">
        <v>519</v>
      </c>
      <c r="F23" t="s">
        <v>23</v>
      </c>
      <c r="G23" t="s">
        <v>119</v>
      </c>
      <c r="H23">
        <v>795900.24</v>
      </c>
      <c r="I23" t="s">
        <v>25</v>
      </c>
      <c r="J23">
        <v>45000</v>
      </c>
      <c r="K23" t="s">
        <v>25</v>
      </c>
      <c r="L23" t="s">
        <v>104</v>
      </c>
      <c r="M23" s="20">
        <v>46173</v>
      </c>
      <c r="N23" s="20">
        <v>46114</v>
      </c>
      <c r="O23" t="s">
        <v>27</v>
      </c>
      <c r="P23" t="s">
        <v>1018</v>
      </c>
      <c r="Q23" t="s">
        <v>252</v>
      </c>
      <c r="R23" t="s">
        <v>185</v>
      </c>
      <c r="S23" t="s">
        <v>1012</v>
      </c>
      <c r="T23" t="str">
        <f>IF(OR(F23="Project - Competitive",F23="Project - Not Competitive"),"New Business","Upsell")</f>
        <v>Upsell</v>
      </c>
      <c r="U23" t="str">
        <f>TEXT(M23,"mm/aaaa")</f>
        <v>05/2026</v>
      </c>
      <c r="V23" t="str">
        <f t="shared" si="0"/>
        <v/>
      </c>
      <c r="W23" s="26">
        <f t="shared" ca="1" si="1"/>
        <v>24</v>
      </c>
    </row>
    <row r="24" spans="1:23">
      <c r="A24" t="s">
        <v>325</v>
      </c>
      <c r="B24" t="s">
        <v>326</v>
      </c>
      <c r="C24" t="s">
        <v>327</v>
      </c>
      <c r="D24" t="s">
        <v>328</v>
      </c>
      <c r="E24" t="s">
        <v>880</v>
      </c>
      <c r="F24" t="s">
        <v>23</v>
      </c>
      <c r="G24" t="s">
        <v>330</v>
      </c>
      <c r="H24">
        <v>192000</v>
      </c>
      <c r="I24" t="s">
        <v>25</v>
      </c>
      <c r="J24">
        <v>192000</v>
      </c>
      <c r="K24" t="s">
        <v>25</v>
      </c>
      <c r="L24" t="s">
        <v>104</v>
      </c>
      <c r="M24" s="20">
        <v>46173</v>
      </c>
      <c r="N24" s="20">
        <v>45989</v>
      </c>
      <c r="O24" t="s">
        <v>27</v>
      </c>
      <c r="P24" t="s">
        <v>1018</v>
      </c>
      <c r="Q24" t="s">
        <v>331</v>
      </c>
      <c r="R24" t="s">
        <v>29</v>
      </c>
      <c r="S24" t="s">
        <v>1012</v>
      </c>
      <c r="T24" t="str">
        <f>IF(OR(F24="Project - Competitive",F24="Project - Not Competitive"),"New Business","Upsell")</f>
        <v>Upsell</v>
      </c>
      <c r="U24" t="str">
        <f>TEXT(M24,"mm/aaaa")</f>
        <v>05/2026</v>
      </c>
      <c r="V24" t="str">
        <f t="shared" si="0"/>
        <v/>
      </c>
      <c r="W24" s="26">
        <f t="shared" ca="1" si="1"/>
        <v>149</v>
      </c>
    </row>
    <row r="25" spans="1:23">
      <c r="A25" t="s">
        <v>337</v>
      </c>
      <c r="B25" t="s">
        <v>19</v>
      </c>
      <c r="C25" t="s">
        <v>20</v>
      </c>
      <c r="D25" t="s">
        <v>21</v>
      </c>
      <c r="E25" t="s">
        <v>158</v>
      </c>
      <c r="F25" t="s">
        <v>23</v>
      </c>
      <c r="G25" t="s">
        <v>66</v>
      </c>
      <c r="H25">
        <v>3015949.3200000003</v>
      </c>
      <c r="I25" t="s">
        <v>25</v>
      </c>
      <c r="J25">
        <v>1885842.96</v>
      </c>
      <c r="K25" t="s">
        <v>25</v>
      </c>
      <c r="L25" t="s">
        <v>104</v>
      </c>
      <c r="M25" s="20">
        <v>46234</v>
      </c>
      <c r="N25" s="20">
        <v>45669</v>
      </c>
      <c r="O25" t="s">
        <v>27</v>
      </c>
      <c r="P25" t="s">
        <v>1018</v>
      </c>
      <c r="Q25" t="s">
        <v>225</v>
      </c>
      <c r="R25" t="s">
        <v>29</v>
      </c>
      <c r="S25" t="s">
        <v>1012</v>
      </c>
      <c r="T25" t="str">
        <f>IF(OR(F25="Project - Competitive",F25="Project - Not Competitive"),"New Business","Upsell")</f>
        <v>Upsell</v>
      </c>
      <c r="U25" t="str">
        <f>TEXT(M25,"mm/aaaa")</f>
        <v>07/2026</v>
      </c>
      <c r="V25" t="str">
        <f t="shared" si="0"/>
        <v/>
      </c>
      <c r="W25" s="26">
        <f t="shared" ca="1" si="1"/>
        <v>469</v>
      </c>
    </row>
    <row r="26" spans="1:23">
      <c r="A26" t="s">
        <v>99</v>
      </c>
      <c r="B26" t="s">
        <v>100</v>
      </c>
      <c r="C26" t="s">
        <v>101</v>
      </c>
      <c r="D26" t="s">
        <v>102</v>
      </c>
      <c r="E26" t="s">
        <v>103</v>
      </c>
      <c r="F26" t="s">
        <v>23</v>
      </c>
      <c r="G26" t="s">
        <v>40</v>
      </c>
      <c r="H26">
        <v>222000</v>
      </c>
      <c r="I26" t="s">
        <v>25</v>
      </c>
      <c r="J26">
        <v>222000</v>
      </c>
      <c r="K26" t="s">
        <v>25</v>
      </c>
      <c r="L26" t="s">
        <v>104</v>
      </c>
      <c r="M26" s="20">
        <v>46268</v>
      </c>
      <c r="N26" s="20">
        <v>45909</v>
      </c>
      <c r="O26" t="s">
        <v>27</v>
      </c>
      <c r="P26" t="s">
        <v>58</v>
      </c>
      <c r="Q26" t="s">
        <v>105</v>
      </c>
      <c r="R26" t="s">
        <v>106</v>
      </c>
      <c r="S26" t="s">
        <v>1012</v>
      </c>
      <c r="T26" t="str">
        <f>IF(OR(F26="Project - Competitive",F26="Project - Not Competitive"),"New Business","Upsell")</f>
        <v>Upsell</v>
      </c>
      <c r="U26" t="str">
        <f>TEXT(M26,"mm/aaaa")</f>
        <v>09/2026</v>
      </c>
      <c r="V26">
        <f t="shared" si="0"/>
        <v>359</v>
      </c>
      <c r="W26" s="26" t="str">
        <f t="shared" ca="1" si="1"/>
        <v/>
      </c>
    </row>
    <row r="27" spans="1:23">
      <c r="A27" t="s">
        <v>601</v>
      </c>
      <c r="B27" t="s">
        <v>602</v>
      </c>
      <c r="C27" t="s">
        <v>603</v>
      </c>
      <c r="D27" t="s">
        <v>37</v>
      </c>
      <c r="E27" t="s">
        <v>604</v>
      </c>
      <c r="F27" t="s">
        <v>49</v>
      </c>
      <c r="G27" t="s">
        <v>330</v>
      </c>
      <c r="H27">
        <v>149540.79</v>
      </c>
      <c r="I27" t="s">
        <v>25</v>
      </c>
      <c r="J27">
        <v>149540.79</v>
      </c>
      <c r="K27" t="s">
        <v>25</v>
      </c>
      <c r="L27" t="s">
        <v>104</v>
      </c>
      <c r="M27" s="20">
        <v>46239</v>
      </c>
      <c r="N27" s="20">
        <v>46071</v>
      </c>
      <c r="O27" t="s">
        <v>149</v>
      </c>
      <c r="P27" t="s">
        <v>1018</v>
      </c>
      <c r="Q27" t="s">
        <v>555</v>
      </c>
      <c r="R27" t="s">
        <v>185</v>
      </c>
      <c r="S27" t="s">
        <v>1015</v>
      </c>
      <c r="T27" t="str">
        <f>IF(OR(F27="Project - Competitive",F27="Project - Not Competitive"),"New Business","Upsell")</f>
        <v>New Business</v>
      </c>
      <c r="U27" t="str">
        <f>TEXT(M27,"mm/aaaa")</f>
        <v>08/2026</v>
      </c>
      <c r="V27" t="str">
        <f t="shared" si="0"/>
        <v/>
      </c>
      <c r="W27" s="26">
        <f t="shared" ca="1" si="1"/>
        <v>67</v>
      </c>
    </row>
    <row r="28" spans="1:23">
      <c r="A28" t="s">
        <v>172</v>
      </c>
      <c r="B28" t="s">
        <v>173</v>
      </c>
      <c r="C28" t="s">
        <v>174</v>
      </c>
      <c r="D28" t="s">
        <v>175</v>
      </c>
      <c r="E28" t="s">
        <v>178</v>
      </c>
      <c r="F28" t="s">
        <v>23</v>
      </c>
      <c r="G28" t="s">
        <v>24</v>
      </c>
      <c r="H28">
        <v>593400</v>
      </c>
      <c r="I28" t="s">
        <v>25</v>
      </c>
      <c r="J28">
        <v>345148.56</v>
      </c>
      <c r="K28" t="s">
        <v>25</v>
      </c>
      <c r="L28" t="s">
        <v>104</v>
      </c>
      <c r="M28" s="20">
        <v>46142</v>
      </c>
      <c r="N28" s="20">
        <v>45940</v>
      </c>
      <c r="O28" t="s">
        <v>27</v>
      </c>
      <c r="P28" t="s">
        <v>1018</v>
      </c>
      <c r="Q28" t="s">
        <v>177</v>
      </c>
      <c r="R28" t="s">
        <v>29</v>
      </c>
      <c r="S28" t="s">
        <v>1012</v>
      </c>
      <c r="T28" t="str">
        <f>IF(OR(F28="Project - Competitive",F28="Project - Not Competitive"),"New Business","Upsell")</f>
        <v>Upsell</v>
      </c>
      <c r="U28" t="str">
        <f>TEXT(M28,"mm/aaaa")</f>
        <v>04/2026</v>
      </c>
      <c r="V28" t="str">
        <f t="shared" si="0"/>
        <v/>
      </c>
      <c r="W28" s="26">
        <f t="shared" ca="1" si="1"/>
        <v>198</v>
      </c>
    </row>
    <row r="29" spans="1:23" ht="14.4" customHeight="1">
      <c r="A29" t="s">
        <v>702</v>
      </c>
      <c r="B29" t="s">
        <v>703</v>
      </c>
      <c r="C29" t="s">
        <v>704</v>
      </c>
      <c r="D29" t="s">
        <v>117</v>
      </c>
      <c r="E29" t="s">
        <v>705</v>
      </c>
      <c r="F29" t="s">
        <v>82</v>
      </c>
      <c r="G29" t="s">
        <v>24</v>
      </c>
      <c r="H29">
        <v>2510326.92</v>
      </c>
      <c r="I29" t="s">
        <v>25</v>
      </c>
      <c r="J29">
        <v>236040.72</v>
      </c>
      <c r="K29" t="s">
        <v>25</v>
      </c>
      <c r="L29" t="s">
        <v>104</v>
      </c>
      <c r="M29" s="20">
        <v>46142</v>
      </c>
      <c r="N29" s="20">
        <v>46176</v>
      </c>
      <c r="O29" t="s">
        <v>27</v>
      </c>
      <c r="P29" t="s">
        <v>1018</v>
      </c>
      <c r="Q29" t="s">
        <v>701</v>
      </c>
      <c r="R29" t="s">
        <v>29</v>
      </c>
      <c r="S29" t="s">
        <v>1012</v>
      </c>
      <c r="T29" t="str">
        <f>IF(OR(F29="Project - Competitive",F29="Project - Not Competitive"),"New Business","Upsell")</f>
        <v>Upsell</v>
      </c>
      <c r="U29" t="str">
        <f>TEXT(M29,"mm/aaaa")</f>
        <v>04/2026</v>
      </c>
      <c r="V29" t="str">
        <f t="shared" si="0"/>
        <v/>
      </c>
      <c r="W29" s="26">
        <f t="shared" ca="1" si="1"/>
        <v>0</v>
      </c>
    </row>
    <row r="30" spans="1:23" ht="14.4" customHeight="1">
      <c r="A30" t="s">
        <v>702</v>
      </c>
      <c r="B30" t="s">
        <v>703</v>
      </c>
      <c r="C30" t="s">
        <v>704</v>
      </c>
      <c r="D30" t="s">
        <v>117</v>
      </c>
      <c r="E30" t="s">
        <v>705</v>
      </c>
      <c r="F30" t="s">
        <v>82</v>
      </c>
      <c r="G30" t="s">
        <v>24</v>
      </c>
      <c r="H30">
        <v>2510326.92</v>
      </c>
      <c r="I30" t="s">
        <v>25</v>
      </c>
      <c r="J30">
        <v>450126.12</v>
      </c>
      <c r="K30" t="s">
        <v>25</v>
      </c>
      <c r="L30" t="s">
        <v>104</v>
      </c>
      <c r="M30" s="20">
        <v>46142</v>
      </c>
      <c r="N30" s="20">
        <v>46176</v>
      </c>
      <c r="O30" t="s">
        <v>27</v>
      </c>
      <c r="P30" t="s">
        <v>1018</v>
      </c>
      <c r="Q30" t="s">
        <v>701</v>
      </c>
      <c r="R30" t="s">
        <v>29</v>
      </c>
      <c r="S30" t="s">
        <v>1012</v>
      </c>
      <c r="T30" t="str">
        <f>IF(OR(F30="Project - Competitive",F30="Project - Not Competitive"),"New Business","Upsell")</f>
        <v>Upsell</v>
      </c>
      <c r="U30" t="str">
        <f>TEXT(M30,"mm/aaaa")</f>
        <v>04/2026</v>
      </c>
      <c r="V30" t="str">
        <f t="shared" si="0"/>
        <v/>
      </c>
      <c r="W30" s="26">
        <f t="shared" ca="1" si="1"/>
        <v>0</v>
      </c>
    </row>
    <row r="31" spans="1:23" ht="14.4" customHeight="1">
      <c r="A31" t="s">
        <v>200</v>
      </c>
      <c r="B31" t="s">
        <v>201</v>
      </c>
      <c r="C31" t="s">
        <v>202</v>
      </c>
      <c r="D31" t="s">
        <v>203</v>
      </c>
      <c r="E31" t="s">
        <v>204</v>
      </c>
      <c r="F31" t="s">
        <v>49</v>
      </c>
      <c r="G31" t="s">
        <v>119</v>
      </c>
      <c r="H31">
        <v>645420</v>
      </c>
      <c r="I31" t="s">
        <v>25</v>
      </c>
      <c r="J31">
        <v>645420</v>
      </c>
      <c r="K31" t="s">
        <v>25</v>
      </c>
      <c r="L31" t="s">
        <v>104</v>
      </c>
      <c r="M31" s="20">
        <v>46028</v>
      </c>
      <c r="N31" s="20">
        <v>45957</v>
      </c>
      <c r="O31" t="s">
        <v>50</v>
      </c>
      <c r="P31" t="s">
        <v>1018</v>
      </c>
      <c r="Q31" t="s">
        <v>121</v>
      </c>
      <c r="R31" t="s">
        <v>29</v>
      </c>
      <c r="S31" t="s">
        <v>1015</v>
      </c>
      <c r="T31" t="str">
        <f>IF(OR(F31="Project - Competitive",F31="Project - Not Competitive"),"New Business","Upsell")</f>
        <v>New Business</v>
      </c>
      <c r="U31" t="str">
        <f>TEXT(M31,"mm/aaaa")</f>
        <v>01/2026</v>
      </c>
      <c r="V31" t="str">
        <f t="shared" si="0"/>
        <v/>
      </c>
      <c r="W31" s="26">
        <f t="shared" ca="1" si="1"/>
        <v>181</v>
      </c>
    </row>
    <row r="32" spans="1:23" ht="14.4" customHeight="1">
      <c r="A32" t="s">
        <v>772</v>
      </c>
      <c r="B32" t="s">
        <v>138</v>
      </c>
      <c r="C32" t="s">
        <v>139</v>
      </c>
      <c r="D32" t="s">
        <v>70</v>
      </c>
      <c r="E32" t="s">
        <v>140</v>
      </c>
      <c r="F32" t="s">
        <v>23</v>
      </c>
      <c r="G32" t="s">
        <v>66</v>
      </c>
      <c r="H32">
        <v>2316291.86</v>
      </c>
      <c r="I32" t="s">
        <v>25</v>
      </c>
      <c r="J32">
        <v>2316291.86</v>
      </c>
      <c r="K32" t="s">
        <v>25</v>
      </c>
      <c r="L32" t="s">
        <v>104</v>
      </c>
      <c r="M32" s="20">
        <v>46173</v>
      </c>
      <c r="N32" s="20">
        <v>46100</v>
      </c>
      <c r="O32" t="s">
        <v>27</v>
      </c>
      <c r="P32" t="s">
        <v>1018</v>
      </c>
      <c r="Q32" t="s">
        <v>324</v>
      </c>
      <c r="R32" t="s">
        <v>29</v>
      </c>
      <c r="S32" t="s">
        <v>1012</v>
      </c>
      <c r="T32" t="str">
        <f>IF(OR(F32="Project - Competitive",F32="Project - Not Competitive"),"New Business","Upsell")</f>
        <v>Upsell</v>
      </c>
      <c r="U32" t="str">
        <f>TEXT(M32,"mm/aaaa")</f>
        <v>05/2026</v>
      </c>
      <c r="V32" t="str">
        <f t="shared" si="0"/>
        <v/>
      </c>
      <c r="W32" s="26">
        <f t="shared" ca="1" si="1"/>
        <v>38</v>
      </c>
    </row>
    <row r="33" spans="1:23" ht="14.4" customHeight="1">
      <c r="A33" t="s">
        <v>137</v>
      </c>
      <c r="B33" t="s">
        <v>138</v>
      </c>
      <c r="C33" t="s">
        <v>139</v>
      </c>
      <c r="D33" t="s">
        <v>70</v>
      </c>
      <c r="E33" t="s">
        <v>265</v>
      </c>
      <c r="F33" t="s">
        <v>23</v>
      </c>
      <c r="G33" t="s">
        <v>40</v>
      </c>
      <c r="H33">
        <v>1157087.3999999999</v>
      </c>
      <c r="I33" t="s">
        <v>25</v>
      </c>
      <c r="J33">
        <v>926822.40000000002</v>
      </c>
      <c r="K33" t="s">
        <v>25</v>
      </c>
      <c r="L33" t="s">
        <v>104</v>
      </c>
      <c r="M33" s="20">
        <v>46143</v>
      </c>
      <c r="N33" s="20">
        <v>45925</v>
      </c>
      <c r="O33" t="s">
        <v>27</v>
      </c>
      <c r="P33" t="s">
        <v>1018</v>
      </c>
      <c r="Q33" t="s">
        <v>141</v>
      </c>
      <c r="R33" t="s">
        <v>29</v>
      </c>
      <c r="S33" t="s">
        <v>1012</v>
      </c>
      <c r="T33" t="str">
        <f>IF(OR(F33="Project - Competitive",F33="Project - Not Competitive"),"New Business","Upsell")</f>
        <v>Upsell</v>
      </c>
      <c r="U33" t="str">
        <f>TEXT(M33,"mm/aaaa")</f>
        <v>05/2026</v>
      </c>
      <c r="V33">
        <f t="shared" si="0"/>
        <v>218</v>
      </c>
      <c r="W33" s="26" t="str">
        <f t="shared" ca="1" si="1"/>
        <v/>
      </c>
    </row>
    <row r="34" spans="1:23" ht="14.4" customHeight="1">
      <c r="A34" t="s">
        <v>391</v>
      </c>
      <c r="B34" t="s">
        <v>138</v>
      </c>
      <c r="C34" t="s">
        <v>139</v>
      </c>
      <c r="D34" t="s">
        <v>70</v>
      </c>
      <c r="E34" t="s">
        <v>214</v>
      </c>
      <c r="F34" t="s">
        <v>82</v>
      </c>
      <c r="G34" t="s">
        <v>40</v>
      </c>
      <c r="H34">
        <v>6770269.9100000001</v>
      </c>
      <c r="I34" t="s">
        <v>25</v>
      </c>
      <c r="J34">
        <v>455478.43</v>
      </c>
      <c r="K34" t="s">
        <v>25</v>
      </c>
      <c r="L34" t="s">
        <v>104</v>
      </c>
      <c r="M34" s="20">
        <v>46049</v>
      </c>
      <c r="N34" s="20">
        <v>46006</v>
      </c>
      <c r="O34" t="s">
        <v>27</v>
      </c>
      <c r="P34" t="s">
        <v>1018</v>
      </c>
      <c r="Q34" t="s">
        <v>306</v>
      </c>
      <c r="R34" t="s">
        <v>29</v>
      </c>
      <c r="S34" t="s">
        <v>1012</v>
      </c>
      <c r="T34" t="str">
        <f>IF(OR(F34="Project - Competitive",F34="Project - Not Competitive"),"New Business","Upsell")</f>
        <v>Upsell</v>
      </c>
      <c r="U34" t="str">
        <f>TEXT(M34,"mm/aaaa")</f>
        <v>01/2026</v>
      </c>
      <c r="V34">
        <f t="shared" si="0"/>
        <v>43</v>
      </c>
      <c r="W34" s="26" t="str">
        <f t="shared" ca="1" si="1"/>
        <v/>
      </c>
    </row>
    <row r="35" spans="1:23" ht="14.4" customHeight="1">
      <c r="A35" t="s">
        <v>425</v>
      </c>
      <c r="B35" t="s">
        <v>426</v>
      </c>
      <c r="C35" t="s">
        <v>427</v>
      </c>
      <c r="D35" t="s">
        <v>203</v>
      </c>
      <c r="E35" t="s">
        <v>428</v>
      </c>
      <c r="F35" t="s">
        <v>49</v>
      </c>
      <c r="G35" t="s">
        <v>119</v>
      </c>
      <c r="H35">
        <v>520000</v>
      </c>
      <c r="I35" t="s">
        <v>25</v>
      </c>
      <c r="J35">
        <v>520000</v>
      </c>
      <c r="K35" t="s">
        <v>25</v>
      </c>
      <c r="L35" t="s">
        <v>104</v>
      </c>
      <c r="M35" s="20">
        <v>46028</v>
      </c>
      <c r="N35" s="20">
        <v>46357</v>
      </c>
      <c r="O35" t="s">
        <v>355</v>
      </c>
      <c r="P35" t="s">
        <v>1018</v>
      </c>
      <c r="Q35" t="s">
        <v>97</v>
      </c>
      <c r="R35" t="s">
        <v>60</v>
      </c>
      <c r="S35" t="s">
        <v>1016</v>
      </c>
      <c r="T35" t="str">
        <f>IF(OR(F35="Project - Competitive",F35="Project - Not Competitive"),"New Business","Upsell")</f>
        <v>New Business</v>
      </c>
      <c r="U35" t="str">
        <f>TEXT(M35,"mm/aaaa")</f>
        <v>01/2026</v>
      </c>
      <c r="V35" t="str">
        <f t="shared" si="0"/>
        <v/>
      </c>
      <c r="W35" s="26">
        <f t="shared" ca="1" si="1"/>
        <v>0</v>
      </c>
    </row>
    <row r="36" spans="1:23">
      <c r="A36" t="s">
        <v>522</v>
      </c>
      <c r="B36" t="s">
        <v>523</v>
      </c>
      <c r="C36" t="s">
        <v>524</v>
      </c>
      <c r="D36" t="s">
        <v>102</v>
      </c>
      <c r="E36" t="s">
        <v>678</v>
      </c>
      <c r="F36" t="s">
        <v>23</v>
      </c>
      <c r="G36" t="s">
        <v>119</v>
      </c>
      <c r="H36">
        <v>97858.559999999998</v>
      </c>
      <c r="I36" t="s">
        <v>25</v>
      </c>
      <c r="J36">
        <v>97858.559999999998</v>
      </c>
      <c r="K36" t="s">
        <v>25</v>
      </c>
      <c r="L36" t="s">
        <v>104</v>
      </c>
      <c r="M36" s="20">
        <v>46173</v>
      </c>
      <c r="N36" s="20">
        <v>46114</v>
      </c>
      <c r="O36" t="s">
        <v>27</v>
      </c>
      <c r="P36" t="s">
        <v>1018</v>
      </c>
      <c r="Q36" t="s">
        <v>526</v>
      </c>
      <c r="R36" t="s">
        <v>29</v>
      </c>
      <c r="S36" t="s">
        <v>1012</v>
      </c>
      <c r="T36" t="str">
        <f>IF(OR(F36="Project - Competitive",F36="Project - Not Competitive"),"New Business","Upsell")</f>
        <v>Upsell</v>
      </c>
      <c r="U36" t="str">
        <f>TEXT(M36,"mm/aaaa")</f>
        <v>05/2026</v>
      </c>
      <c r="V36" t="str">
        <f t="shared" si="0"/>
        <v/>
      </c>
      <c r="W36" s="26">
        <f t="shared" ca="1" si="1"/>
        <v>24</v>
      </c>
    </row>
    <row r="37" spans="1:23">
      <c r="A37" t="s">
        <v>666</v>
      </c>
      <c r="B37" t="s">
        <v>667</v>
      </c>
      <c r="C37" t="s">
        <v>668</v>
      </c>
      <c r="D37" t="s">
        <v>37</v>
      </c>
      <c r="E37" t="s">
        <v>671</v>
      </c>
      <c r="F37" t="s">
        <v>39</v>
      </c>
      <c r="G37" t="s">
        <v>119</v>
      </c>
      <c r="H37">
        <v>2133050.04</v>
      </c>
      <c r="I37" t="s">
        <v>25</v>
      </c>
      <c r="J37">
        <v>853158.72</v>
      </c>
      <c r="K37" t="s">
        <v>25</v>
      </c>
      <c r="L37" t="s">
        <v>104</v>
      </c>
      <c r="M37" s="20">
        <v>46171</v>
      </c>
      <c r="N37" s="20">
        <v>46084</v>
      </c>
      <c r="O37" t="s">
        <v>135</v>
      </c>
      <c r="P37" t="s">
        <v>58</v>
      </c>
      <c r="Q37" t="s">
        <v>446</v>
      </c>
      <c r="R37" t="s">
        <v>29</v>
      </c>
      <c r="S37" t="s">
        <v>1014</v>
      </c>
      <c r="T37" t="str">
        <f>IF(OR(F37="Project - Competitive",F37="Project - Not Competitive"),"New Business","Upsell")</f>
        <v>New Business</v>
      </c>
      <c r="U37" t="str">
        <f>TEXT(M37,"mm/aaaa")</f>
        <v>05/2026</v>
      </c>
      <c r="V37" t="str">
        <f t="shared" si="0"/>
        <v/>
      </c>
      <c r="W37" s="26">
        <f t="shared" ca="1" si="1"/>
        <v>54</v>
      </c>
    </row>
    <row r="38" spans="1:23" ht="14.4" customHeight="1">
      <c r="A38" t="s">
        <v>731</v>
      </c>
      <c r="B38" t="s">
        <v>732</v>
      </c>
      <c r="C38" t="s">
        <v>733</v>
      </c>
      <c r="D38" t="s">
        <v>328</v>
      </c>
      <c r="E38" t="s">
        <v>858</v>
      </c>
      <c r="F38" t="s">
        <v>49</v>
      </c>
      <c r="G38" t="s">
        <v>330</v>
      </c>
      <c r="H38">
        <v>88000</v>
      </c>
      <c r="I38" t="s">
        <v>25</v>
      </c>
      <c r="J38">
        <v>88000</v>
      </c>
      <c r="K38" t="s">
        <v>25</v>
      </c>
      <c r="L38" t="s">
        <v>104</v>
      </c>
      <c r="M38" s="20">
        <v>46028</v>
      </c>
      <c r="N38" s="20">
        <v>46329</v>
      </c>
      <c r="O38" t="s">
        <v>149</v>
      </c>
      <c r="P38" t="s">
        <v>1018</v>
      </c>
      <c r="Q38" t="s">
        <v>461</v>
      </c>
      <c r="R38" t="s">
        <v>60</v>
      </c>
      <c r="S38" t="s">
        <v>1015</v>
      </c>
      <c r="T38" t="str">
        <f>IF(OR(F38="Project - Competitive",F38="Project - Not Competitive"),"New Business","Upsell")</f>
        <v>New Business</v>
      </c>
      <c r="U38" t="str">
        <f>TEXT(M38,"mm/aaaa")</f>
        <v>01/2026</v>
      </c>
      <c r="V38" t="str">
        <f t="shared" si="0"/>
        <v/>
      </c>
      <c r="W38" s="26">
        <f t="shared" ca="1" si="1"/>
        <v>0</v>
      </c>
    </row>
    <row r="39" spans="1:23" ht="14.4" customHeight="1">
      <c r="A39" t="s">
        <v>712</v>
      </c>
      <c r="B39" t="s">
        <v>713</v>
      </c>
      <c r="C39" t="s">
        <v>714</v>
      </c>
      <c r="D39" t="s">
        <v>175</v>
      </c>
      <c r="E39" t="s">
        <v>715</v>
      </c>
      <c r="F39" t="s">
        <v>82</v>
      </c>
      <c r="G39" t="s">
        <v>24</v>
      </c>
      <c r="H39">
        <v>1993383.1199999999</v>
      </c>
      <c r="I39" t="s">
        <v>25</v>
      </c>
      <c r="J39">
        <v>320220.59999999998</v>
      </c>
      <c r="K39" t="s">
        <v>25</v>
      </c>
      <c r="L39" t="s">
        <v>104</v>
      </c>
      <c r="M39" s="20">
        <v>46059</v>
      </c>
      <c r="N39" s="20">
        <v>46268</v>
      </c>
      <c r="O39" t="s">
        <v>27</v>
      </c>
      <c r="P39" t="s">
        <v>1018</v>
      </c>
      <c r="Q39" t="s">
        <v>446</v>
      </c>
      <c r="R39" t="s">
        <v>29</v>
      </c>
      <c r="S39" t="s">
        <v>1012</v>
      </c>
      <c r="T39" t="str">
        <f>IF(OR(F39="Project - Competitive",F39="Project - Not Competitive"),"New Business","Upsell")</f>
        <v>Upsell</v>
      </c>
      <c r="U39" t="str">
        <f>TEXT(M39,"mm/aaaa")</f>
        <v>02/2026</v>
      </c>
      <c r="V39" t="str">
        <f t="shared" si="0"/>
        <v/>
      </c>
      <c r="W39" s="26">
        <f t="shared" ca="1" si="1"/>
        <v>0</v>
      </c>
    </row>
    <row r="40" spans="1:23" ht="14.4" customHeight="1">
      <c r="A40" t="s">
        <v>835</v>
      </c>
      <c r="B40" t="s">
        <v>412</v>
      </c>
      <c r="C40" t="s">
        <v>413</v>
      </c>
      <c r="D40" t="s">
        <v>55</v>
      </c>
      <c r="E40" t="s">
        <v>836</v>
      </c>
      <c r="F40" t="s">
        <v>23</v>
      </c>
      <c r="G40" t="s">
        <v>119</v>
      </c>
      <c r="H40">
        <v>838800</v>
      </c>
      <c r="I40" t="s">
        <v>25</v>
      </c>
      <c r="J40">
        <v>248400</v>
      </c>
      <c r="K40" t="s">
        <v>25</v>
      </c>
      <c r="L40" t="s">
        <v>104</v>
      </c>
      <c r="M40" s="20">
        <v>46203</v>
      </c>
      <c r="N40" s="20">
        <v>46111</v>
      </c>
      <c r="O40" t="s">
        <v>554</v>
      </c>
      <c r="P40" t="s">
        <v>58</v>
      </c>
      <c r="Q40" t="s">
        <v>324</v>
      </c>
      <c r="R40" t="s">
        <v>29</v>
      </c>
      <c r="S40" t="s">
        <v>1012</v>
      </c>
      <c r="T40" t="str">
        <f>IF(OR(F40="Project - Competitive",F40="Project - Not Competitive"),"New Business","Upsell")</f>
        <v>Upsell</v>
      </c>
      <c r="U40" t="str">
        <f>TEXT(M40,"mm/aaaa")</f>
        <v>06/2026</v>
      </c>
      <c r="V40" t="str">
        <f t="shared" si="0"/>
        <v/>
      </c>
      <c r="W40" s="26">
        <f t="shared" ca="1" si="1"/>
        <v>27</v>
      </c>
    </row>
    <row r="41" spans="1:23" ht="14.4" customHeight="1">
      <c r="A41" t="s">
        <v>934</v>
      </c>
      <c r="B41" t="s">
        <v>935</v>
      </c>
      <c r="C41" t="s">
        <v>936</v>
      </c>
      <c r="D41" t="s">
        <v>95</v>
      </c>
      <c r="E41" t="s">
        <v>938</v>
      </c>
      <c r="F41" t="s">
        <v>82</v>
      </c>
      <c r="G41" t="s">
        <v>330</v>
      </c>
      <c r="H41">
        <v>695284.8</v>
      </c>
      <c r="I41" t="s">
        <v>25</v>
      </c>
      <c r="J41">
        <v>170638.2</v>
      </c>
      <c r="K41" t="s">
        <v>25</v>
      </c>
      <c r="L41" t="s">
        <v>104</v>
      </c>
      <c r="M41" s="20">
        <v>46203</v>
      </c>
      <c r="N41" s="20">
        <v>46299</v>
      </c>
      <c r="O41" t="s">
        <v>872</v>
      </c>
      <c r="P41" t="s">
        <v>1018</v>
      </c>
      <c r="Q41" t="s">
        <v>165</v>
      </c>
      <c r="R41" t="s">
        <v>29</v>
      </c>
      <c r="S41" t="s">
        <v>1012</v>
      </c>
      <c r="T41" t="str">
        <f>IF(OR(F41="Project - Competitive",F41="Project - Not Competitive"),"New Business","Upsell")</f>
        <v>Upsell</v>
      </c>
      <c r="U41" t="str">
        <f>TEXT(M41,"mm/aaaa")</f>
        <v>06/2026</v>
      </c>
      <c r="V41" t="str">
        <f t="shared" si="0"/>
        <v/>
      </c>
      <c r="W41" s="26">
        <f t="shared" ca="1" si="1"/>
        <v>0</v>
      </c>
    </row>
    <row r="42" spans="1:23" ht="14.4" customHeight="1">
      <c r="A42" t="s">
        <v>718</v>
      </c>
      <c r="B42" t="s">
        <v>719</v>
      </c>
      <c r="C42" t="s">
        <v>720</v>
      </c>
      <c r="D42" t="s">
        <v>203</v>
      </c>
      <c r="E42" t="s">
        <v>724</v>
      </c>
      <c r="F42" t="s">
        <v>39</v>
      </c>
      <c r="G42" t="s">
        <v>66</v>
      </c>
      <c r="H42">
        <v>835250.32000000007</v>
      </c>
      <c r="I42" t="s">
        <v>25</v>
      </c>
      <c r="J42">
        <v>150756</v>
      </c>
      <c r="K42" t="s">
        <v>25</v>
      </c>
      <c r="L42" t="s">
        <v>104</v>
      </c>
      <c r="M42" s="20">
        <v>46155</v>
      </c>
      <c r="N42" s="20">
        <v>46329</v>
      </c>
      <c r="O42" t="s">
        <v>50</v>
      </c>
      <c r="P42" t="s">
        <v>1018</v>
      </c>
      <c r="Q42" t="s">
        <v>409</v>
      </c>
      <c r="R42" t="s">
        <v>29</v>
      </c>
      <c r="S42" t="s">
        <v>1015</v>
      </c>
      <c r="T42" t="str">
        <f>IF(OR(F42="Project - Competitive",F42="Project - Not Competitive"),"New Business","Upsell")</f>
        <v>New Business</v>
      </c>
      <c r="U42" t="str">
        <f>TEXT(M42,"mm/aaaa")</f>
        <v>05/2026</v>
      </c>
      <c r="V42" t="str">
        <f t="shared" si="0"/>
        <v/>
      </c>
      <c r="W42" s="26">
        <f t="shared" ca="1" si="1"/>
        <v>0</v>
      </c>
    </row>
    <row r="43" spans="1:23">
      <c r="A43" t="s">
        <v>266</v>
      </c>
      <c r="B43" t="s">
        <v>68</v>
      </c>
      <c r="C43" t="s">
        <v>69</v>
      </c>
      <c r="D43" t="s">
        <v>70</v>
      </c>
      <c r="E43" t="s">
        <v>268</v>
      </c>
      <c r="F43" t="s">
        <v>82</v>
      </c>
      <c r="G43" t="s">
        <v>40</v>
      </c>
      <c r="H43">
        <v>4260383.32</v>
      </c>
      <c r="I43" t="s">
        <v>25</v>
      </c>
      <c r="J43">
        <v>964773.66</v>
      </c>
      <c r="K43" t="s">
        <v>25</v>
      </c>
      <c r="L43" t="s">
        <v>104</v>
      </c>
      <c r="M43" s="20">
        <v>46268</v>
      </c>
      <c r="N43" s="20">
        <v>45975</v>
      </c>
      <c r="O43" t="s">
        <v>27</v>
      </c>
      <c r="P43" t="s">
        <v>1018</v>
      </c>
      <c r="Q43" t="s">
        <v>105</v>
      </c>
      <c r="R43" t="s">
        <v>29</v>
      </c>
      <c r="S43" t="s">
        <v>1012</v>
      </c>
      <c r="T43" t="str">
        <f>IF(OR(F43="Project - Competitive",F43="Project - Not Competitive"),"New Business","Upsell")</f>
        <v>Upsell</v>
      </c>
      <c r="U43" t="str">
        <f>TEXT(M43,"mm/aaaa")</f>
        <v>09/2026</v>
      </c>
      <c r="V43">
        <f t="shared" si="0"/>
        <v>293</v>
      </c>
      <c r="W43" s="26" t="str">
        <f t="shared" ca="1" si="1"/>
        <v/>
      </c>
    </row>
    <row r="44" spans="1:23">
      <c r="A44" t="s">
        <v>270</v>
      </c>
      <c r="B44" t="s">
        <v>68</v>
      </c>
      <c r="C44" t="s">
        <v>69</v>
      </c>
      <c r="D44" t="s">
        <v>70</v>
      </c>
      <c r="E44" t="s">
        <v>273</v>
      </c>
      <c r="F44" t="s">
        <v>82</v>
      </c>
      <c r="G44" t="s">
        <v>40</v>
      </c>
      <c r="H44">
        <v>3785206.2099999995</v>
      </c>
      <c r="I44" t="s">
        <v>25</v>
      </c>
      <c r="J44">
        <v>249048.07</v>
      </c>
      <c r="K44" t="s">
        <v>25</v>
      </c>
      <c r="L44" t="s">
        <v>104</v>
      </c>
      <c r="M44" s="20">
        <v>46066</v>
      </c>
      <c r="N44" s="20">
        <v>45975</v>
      </c>
      <c r="O44" t="s">
        <v>27</v>
      </c>
      <c r="P44" t="s">
        <v>1018</v>
      </c>
      <c r="Q44" t="s">
        <v>271</v>
      </c>
      <c r="R44" t="s">
        <v>29</v>
      </c>
      <c r="S44" t="s">
        <v>1012</v>
      </c>
      <c r="T44" t="str">
        <f>IF(OR(F44="Project - Competitive",F44="Project - Not Competitive"),"New Business","Upsell")</f>
        <v>Upsell</v>
      </c>
      <c r="U44" t="str">
        <f>TEXT(M44,"mm/aaaa")</f>
        <v>02/2026</v>
      </c>
      <c r="V44">
        <f t="shared" si="0"/>
        <v>91</v>
      </c>
      <c r="W44" s="26" t="str">
        <f t="shared" ca="1" si="1"/>
        <v/>
      </c>
    </row>
    <row r="45" spans="1:23">
      <c r="A45" t="s">
        <v>897</v>
      </c>
      <c r="B45" t="s">
        <v>68</v>
      </c>
      <c r="C45" t="s">
        <v>69</v>
      </c>
      <c r="D45" t="s">
        <v>70</v>
      </c>
      <c r="E45" t="s">
        <v>275</v>
      </c>
      <c r="F45" t="s">
        <v>23</v>
      </c>
      <c r="G45" t="s">
        <v>24</v>
      </c>
      <c r="H45">
        <v>1555491.6</v>
      </c>
      <c r="I45" t="s">
        <v>25</v>
      </c>
      <c r="J45">
        <v>1555491.6</v>
      </c>
      <c r="K45" t="s">
        <v>25</v>
      </c>
      <c r="L45" t="s">
        <v>104</v>
      </c>
      <c r="M45" s="20">
        <v>46203</v>
      </c>
      <c r="N45" s="20">
        <v>46177</v>
      </c>
      <c r="O45" t="s">
        <v>872</v>
      </c>
      <c r="P45" t="s">
        <v>1018</v>
      </c>
      <c r="Q45" t="s">
        <v>73</v>
      </c>
      <c r="R45" t="s">
        <v>29</v>
      </c>
      <c r="S45" t="s">
        <v>1012</v>
      </c>
      <c r="T45" t="str">
        <f>IF(OR(F45="Project - Competitive",F45="Project - Not Competitive"),"New Business","Upsell")</f>
        <v>Upsell</v>
      </c>
      <c r="U45" t="str">
        <f>TEXT(M45,"mm/aaaa")</f>
        <v>06/2026</v>
      </c>
      <c r="V45" t="str">
        <f t="shared" si="0"/>
        <v/>
      </c>
      <c r="W45" s="26">
        <f t="shared" ca="1" si="1"/>
        <v>0</v>
      </c>
    </row>
    <row r="46" spans="1:23">
      <c r="A46" t="s">
        <v>443</v>
      </c>
      <c r="B46" t="s">
        <v>68</v>
      </c>
      <c r="C46" t="s">
        <v>69</v>
      </c>
      <c r="D46" t="s">
        <v>70</v>
      </c>
      <c r="E46" t="s">
        <v>267</v>
      </c>
      <c r="F46" t="s">
        <v>23</v>
      </c>
      <c r="G46" t="s">
        <v>40</v>
      </c>
      <c r="H46">
        <v>297244.79999999999</v>
      </c>
      <c r="I46" t="s">
        <v>25</v>
      </c>
      <c r="J46">
        <v>297244.79999999999</v>
      </c>
      <c r="K46" t="s">
        <v>25</v>
      </c>
      <c r="L46" t="s">
        <v>104</v>
      </c>
      <c r="M46" s="20">
        <v>46105</v>
      </c>
      <c r="N46" s="20">
        <v>46037</v>
      </c>
      <c r="O46" t="s">
        <v>27</v>
      </c>
      <c r="P46" t="s">
        <v>1018</v>
      </c>
      <c r="Q46" t="s">
        <v>356</v>
      </c>
      <c r="R46" t="s">
        <v>29</v>
      </c>
      <c r="S46" t="s">
        <v>1012</v>
      </c>
      <c r="T46" t="str">
        <f>IF(OR(F46="Project - Competitive",F46="Project - Not Competitive"),"New Business","Upsell")</f>
        <v>Upsell</v>
      </c>
      <c r="U46" t="str">
        <f>TEXT(M46,"mm/aaaa")</f>
        <v>03/2026</v>
      </c>
      <c r="V46">
        <f t="shared" si="0"/>
        <v>68</v>
      </c>
      <c r="W46" s="26" t="str">
        <f t="shared" ca="1" si="1"/>
        <v/>
      </c>
    </row>
    <row r="47" spans="1:23">
      <c r="A47" t="s">
        <v>462</v>
      </c>
      <c r="B47" t="s">
        <v>463</v>
      </c>
      <c r="C47" t="s">
        <v>464</v>
      </c>
      <c r="D47" t="s">
        <v>298</v>
      </c>
      <c r="E47" t="s">
        <v>468</v>
      </c>
      <c r="F47" t="s">
        <v>39</v>
      </c>
      <c r="G47" t="s">
        <v>40</v>
      </c>
      <c r="H47">
        <v>4293965.2399999993</v>
      </c>
      <c r="I47" t="s">
        <v>25</v>
      </c>
      <c r="J47">
        <v>375767.72</v>
      </c>
      <c r="K47" t="s">
        <v>25</v>
      </c>
      <c r="L47" t="s">
        <v>199</v>
      </c>
      <c r="M47" s="20">
        <v>46080</v>
      </c>
      <c r="N47" s="20">
        <v>46042</v>
      </c>
      <c r="O47" t="s">
        <v>149</v>
      </c>
      <c r="P47" t="s">
        <v>1018</v>
      </c>
      <c r="Q47" t="s">
        <v>88</v>
      </c>
      <c r="R47" t="s">
        <v>29</v>
      </c>
      <c r="S47" t="s">
        <v>1015</v>
      </c>
      <c r="T47" t="str">
        <f>IF(OR(F47="Project - Competitive",F47="Project - Not Competitive"),"New Business","Upsell")</f>
        <v>New Business</v>
      </c>
      <c r="U47" t="str">
        <f>TEXT(M47,"mm/aaaa")</f>
        <v>02/2026</v>
      </c>
      <c r="V47">
        <f t="shared" si="0"/>
        <v>38</v>
      </c>
      <c r="W47" s="26" t="str">
        <f t="shared" ca="1" si="1"/>
        <v/>
      </c>
    </row>
    <row r="48" spans="1:23">
      <c r="A48" t="s">
        <v>196</v>
      </c>
      <c r="B48" t="s">
        <v>197</v>
      </c>
      <c r="C48" t="s">
        <v>1062</v>
      </c>
      <c r="D48" t="s">
        <v>110</v>
      </c>
      <c r="E48" t="s">
        <v>1045</v>
      </c>
      <c r="F48" t="s">
        <v>23</v>
      </c>
      <c r="G48" t="s">
        <v>40</v>
      </c>
      <c r="H48">
        <v>1653085.7999999998</v>
      </c>
      <c r="I48" t="s">
        <v>25</v>
      </c>
      <c r="J48">
        <v>561203.64</v>
      </c>
      <c r="K48" t="s">
        <v>25</v>
      </c>
      <c r="L48" t="s">
        <v>199</v>
      </c>
      <c r="M48" s="20">
        <v>46125</v>
      </c>
      <c r="N48" s="20">
        <v>45954</v>
      </c>
      <c r="O48" t="s">
        <v>27</v>
      </c>
      <c r="P48" t="s">
        <v>1018</v>
      </c>
      <c r="Q48" t="s">
        <v>73</v>
      </c>
      <c r="R48" t="s">
        <v>198</v>
      </c>
      <c r="S48" t="s">
        <v>1012</v>
      </c>
      <c r="T48" t="str">
        <f>IF(OR(F48="Project - Competitive",F48="Project - Not Competitive"),"New Business","Upsell")</f>
        <v>Upsell</v>
      </c>
      <c r="U48" t="str">
        <f>TEXT(M48,"mm/aaaa")</f>
        <v>04/2026</v>
      </c>
      <c r="V48">
        <f t="shared" si="0"/>
        <v>171</v>
      </c>
      <c r="W48" s="26" t="str">
        <f t="shared" ca="1" si="1"/>
        <v/>
      </c>
    </row>
    <row r="49" spans="1:23">
      <c r="A49" t="s">
        <v>702</v>
      </c>
      <c r="B49" t="s">
        <v>703</v>
      </c>
      <c r="C49" t="s">
        <v>704</v>
      </c>
      <c r="D49" t="s">
        <v>117</v>
      </c>
      <c r="E49" t="s">
        <v>706</v>
      </c>
      <c r="F49" t="s">
        <v>82</v>
      </c>
      <c r="G49" t="s">
        <v>24</v>
      </c>
      <c r="H49">
        <v>2510326.92</v>
      </c>
      <c r="I49" t="s">
        <v>25</v>
      </c>
      <c r="J49">
        <v>340710.12</v>
      </c>
      <c r="K49" t="s">
        <v>25</v>
      </c>
      <c r="L49" t="s">
        <v>199</v>
      </c>
      <c r="M49" s="20">
        <v>46142</v>
      </c>
      <c r="N49" s="20">
        <v>46176</v>
      </c>
      <c r="O49" t="s">
        <v>27</v>
      </c>
      <c r="P49" t="s">
        <v>1018</v>
      </c>
      <c r="Q49" t="s">
        <v>701</v>
      </c>
      <c r="R49" t="s">
        <v>29</v>
      </c>
      <c r="S49" t="s">
        <v>1012</v>
      </c>
      <c r="T49" t="str">
        <f>IF(OR(F49="Project - Competitive",F49="Project - Not Competitive"),"New Business","Upsell")</f>
        <v>Upsell</v>
      </c>
      <c r="U49" t="str">
        <f>TEXT(M49,"mm/aaaa")</f>
        <v>04/2026</v>
      </c>
      <c r="V49" t="str">
        <f t="shared" si="0"/>
        <v/>
      </c>
      <c r="W49" s="26">
        <f t="shared" ca="1" si="1"/>
        <v>0</v>
      </c>
    </row>
    <row r="50" spans="1:23">
      <c r="A50" t="s">
        <v>796</v>
      </c>
      <c r="B50" t="s">
        <v>797</v>
      </c>
      <c r="C50" t="s">
        <v>798</v>
      </c>
      <c r="D50" t="s">
        <v>132</v>
      </c>
      <c r="E50" t="s">
        <v>909</v>
      </c>
      <c r="F50" t="s">
        <v>39</v>
      </c>
      <c r="G50" t="s">
        <v>119</v>
      </c>
      <c r="H50">
        <v>260468.47999999998</v>
      </c>
      <c r="I50" t="s">
        <v>25</v>
      </c>
      <c r="J50">
        <v>128427.48</v>
      </c>
      <c r="K50" t="s">
        <v>25</v>
      </c>
      <c r="L50" t="s">
        <v>76</v>
      </c>
      <c r="M50" s="20">
        <v>46117</v>
      </c>
      <c r="N50" s="20">
        <v>46104</v>
      </c>
      <c r="O50" t="s">
        <v>50</v>
      </c>
      <c r="P50" t="s">
        <v>1018</v>
      </c>
      <c r="Q50" t="s">
        <v>691</v>
      </c>
      <c r="R50" t="s">
        <v>29</v>
      </c>
      <c r="S50" t="s">
        <v>1015</v>
      </c>
      <c r="T50" t="str">
        <f>IF(OR(F50="Project - Competitive",F50="Project - Not Competitive"),"New Business","Upsell")</f>
        <v>New Business</v>
      </c>
      <c r="U50" t="str">
        <f>TEXT(M50,"mm/aaaa")</f>
        <v>04/2026</v>
      </c>
      <c r="V50" t="str">
        <f t="shared" si="0"/>
        <v/>
      </c>
      <c r="W50" s="26">
        <f t="shared" ca="1" si="1"/>
        <v>34</v>
      </c>
    </row>
    <row r="51" spans="1:23">
      <c r="A51" t="s">
        <v>796</v>
      </c>
      <c r="B51" t="s">
        <v>797</v>
      </c>
      <c r="C51" t="s">
        <v>798</v>
      </c>
      <c r="D51" t="s">
        <v>132</v>
      </c>
      <c r="E51" t="s">
        <v>910</v>
      </c>
      <c r="F51" t="s">
        <v>39</v>
      </c>
      <c r="G51" t="s">
        <v>119</v>
      </c>
      <c r="H51">
        <v>260468.47999999998</v>
      </c>
      <c r="I51" t="s">
        <v>25</v>
      </c>
      <c r="J51">
        <v>132041</v>
      </c>
      <c r="K51" t="s">
        <v>25</v>
      </c>
      <c r="L51" t="s">
        <v>76</v>
      </c>
      <c r="M51" s="20">
        <v>46117</v>
      </c>
      <c r="N51" s="20">
        <v>46104</v>
      </c>
      <c r="O51" t="s">
        <v>50</v>
      </c>
      <c r="P51" t="s">
        <v>1018</v>
      </c>
      <c r="Q51" t="s">
        <v>691</v>
      </c>
      <c r="R51" t="s">
        <v>29</v>
      </c>
      <c r="S51" t="s">
        <v>1015</v>
      </c>
      <c r="T51" t="str">
        <f>IF(OR(F51="Project - Competitive",F51="Project - Not Competitive"),"New Business","Upsell")</f>
        <v>New Business</v>
      </c>
      <c r="U51" t="str">
        <f>TEXT(M51,"mm/aaaa")</f>
        <v>04/2026</v>
      </c>
      <c r="V51" t="str">
        <f t="shared" si="0"/>
        <v/>
      </c>
      <c r="W51" s="26">
        <f t="shared" ca="1" si="1"/>
        <v>34</v>
      </c>
    </row>
    <row r="52" spans="1:23">
      <c r="A52" t="s">
        <v>662</v>
      </c>
      <c r="B52" t="s">
        <v>663</v>
      </c>
      <c r="C52" t="s">
        <v>664</v>
      </c>
      <c r="D52" t="s">
        <v>175</v>
      </c>
      <c r="E52" t="s">
        <v>665</v>
      </c>
      <c r="F52" t="s">
        <v>23</v>
      </c>
      <c r="G52" t="s">
        <v>119</v>
      </c>
      <c r="H52">
        <v>322882</v>
      </c>
      <c r="I52" t="s">
        <v>25</v>
      </c>
      <c r="J52">
        <v>322882</v>
      </c>
      <c r="K52" t="s">
        <v>25</v>
      </c>
      <c r="L52" t="s">
        <v>76</v>
      </c>
      <c r="M52" s="20">
        <v>46139</v>
      </c>
      <c r="N52" s="20">
        <v>46056</v>
      </c>
      <c r="O52" t="s">
        <v>27</v>
      </c>
      <c r="P52" t="s">
        <v>1018</v>
      </c>
      <c r="Q52" t="s">
        <v>105</v>
      </c>
      <c r="R52" t="s">
        <v>324</v>
      </c>
      <c r="S52" t="s">
        <v>1012</v>
      </c>
      <c r="T52" t="str">
        <f>IF(OR(F52="Project - Competitive",F52="Project - Not Competitive"),"New Business","Upsell")</f>
        <v>Upsell</v>
      </c>
      <c r="U52" t="str">
        <f>TEXT(M52,"mm/aaaa")</f>
        <v>04/2026</v>
      </c>
      <c r="V52" t="str">
        <f t="shared" si="0"/>
        <v/>
      </c>
      <c r="W52" s="26">
        <f t="shared" ca="1" si="1"/>
        <v>82</v>
      </c>
    </row>
    <row r="53" spans="1:23">
      <c r="A53" t="s">
        <v>384</v>
      </c>
      <c r="B53" t="s">
        <v>385</v>
      </c>
      <c r="C53" t="s">
        <v>386</v>
      </c>
      <c r="D53" t="s">
        <v>21</v>
      </c>
      <c r="E53" t="s">
        <v>389</v>
      </c>
      <c r="F53" t="s">
        <v>23</v>
      </c>
      <c r="G53" t="s">
        <v>40</v>
      </c>
      <c r="H53">
        <v>1818447</v>
      </c>
      <c r="I53" t="s">
        <v>25</v>
      </c>
      <c r="J53">
        <v>1472367.11</v>
      </c>
      <c r="K53" t="s">
        <v>25</v>
      </c>
      <c r="L53" t="s">
        <v>76</v>
      </c>
      <c r="M53" s="20">
        <v>46105</v>
      </c>
      <c r="N53" s="20">
        <v>46006</v>
      </c>
      <c r="O53" t="s">
        <v>27</v>
      </c>
      <c r="P53" t="s">
        <v>1018</v>
      </c>
      <c r="Q53" t="s">
        <v>356</v>
      </c>
      <c r="R53" t="s">
        <v>106</v>
      </c>
      <c r="S53" t="s">
        <v>1012</v>
      </c>
      <c r="T53" t="str">
        <f>IF(OR(F53="Project - Competitive",F53="Project - Not Competitive"),"New Business","Upsell")</f>
        <v>Upsell</v>
      </c>
      <c r="U53" t="str">
        <f>TEXT(M53,"mm/aaaa")</f>
        <v>03/2026</v>
      </c>
      <c r="V53">
        <f t="shared" si="0"/>
        <v>99</v>
      </c>
      <c r="W53" s="26" t="str">
        <f t="shared" ca="1" si="1"/>
        <v/>
      </c>
    </row>
    <row r="54" spans="1:23">
      <c r="A54" t="s">
        <v>762</v>
      </c>
      <c r="B54" t="s">
        <v>385</v>
      </c>
      <c r="C54" t="s">
        <v>386</v>
      </c>
      <c r="D54" t="s">
        <v>21</v>
      </c>
      <c r="E54" t="s">
        <v>632</v>
      </c>
      <c r="F54" t="s">
        <v>23</v>
      </c>
      <c r="G54" t="s">
        <v>66</v>
      </c>
      <c r="H54">
        <v>296000</v>
      </c>
      <c r="I54" t="s">
        <v>25</v>
      </c>
      <c r="J54">
        <v>110000</v>
      </c>
      <c r="K54" t="s">
        <v>25</v>
      </c>
      <c r="L54" t="s">
        <v>76</v>
      </c>
      <c r="M54" s="20">
        <v>46173</v>
      </c>
      <c r="N54" s="20">
        <v>46095</v>
      </c>
      <c r="O54" t="s">
        <v>27</v>
      </c>
      <c r="P54" t="s">
        <v>1018</v>
      </c>
      <c r="Q54" t="s">
        <v>472</v>
      </c>
      <c r="R54" t="s">
        <v>122</v>
      </c>
      <c r="S54" t="s">
        <v>1012</v>
      </c>
      <c r="T54" t="str">
        <f>IF(OR(F54="Project - Competitive",F54="Project - Not Competitive"),"New Business","Upsell")</f>
        <v>Upsell</v>
      </c>
      <c r="U54" t="str">
        <f>TEXT(M54,"mm/aaaa")</f>
        <v>05/2026</v>
      </c>
      <c r="V54" t="str">
        <f t="shared" si="0"/>
        <v/>
      </c>
      <c r="W54" s="26">
        <f t="shared" ca="1" si="1"/>
        <v>43</v>
      </c>
    </row>
    <row r="55" spans="1:23">
      <c r="A55" t="s">
        <v>401</v>
      </c>
      <c r="B55" t="s">
        <v>385</v>
      </c>
      <c r="C55" t="s">
        <v>386</v>
      </c>
      <c r="D55" t="s">
        <v>21</v>
      </c>
      <c r="E55" t="s">
        <v>763</v>
      </c>
      <c r="F55" t="s">
        <v>23</v>
      </c>
      <c r="G55" t="s">
        <v>40</v>
      </c>
      <c r="H55">
        <v>108985.08</v>
      </c>
      <c r="I55" t="s">
        <v>25</v>
      </c>
      <c r="J55">
        <v>108985.08</v>
      </c>
      <c r="K55" t="s">
        <v>25</v>
      </c>
      <c r="L55" t="s">
        <v>76</v>
      </c>
      <c r="M55" s="20">
        <v>46105</v>
      </c>
      <c r="N55" s="20">
        <v>46010</v>
      </c>
      <c r="O55" t="s">
        <v>27</v>
      </c>
      <c r="P55" t="s">
        <v>1018</v>
      </c>
      <c r="Q55" t="s">
        <v>356</v>
      </c>
      <c r="R55" t="s">
        <v>60</v>
      </c>
      <c r="S55" t="s">
        <v>1012</v>
      </c>
      <c r="T55" t="str">
        <f>IF(OR(F55="Project - Competitive",F55="Project - Not Competitive"),"New Business","Upsell")</f>
        <v>Upsell</v>
      </c>
      <c r="U55" t="str">
        <f>TEXT(M55,"mm/aaaa")</f>
        <v>03/2026</v>
      </c>
      <c r="V55">
        <f t="shared" si="0"/>
        <v>95</v>
      </c>
      <c r="W55" s="26" t="str">
        <f t="shared" ca="1" si="1"/>
        <v/>
      </c>
    </row>
    <row r="56" spans="1:23">
      <c r="A56" t="s">
        <v>659</v>
      </c>
      <c r="B56" t="s">
        <v>385</v>
      </c>
      <c r="C56" t="s">
        <v>386</v>
      </c>
      <c r="D56" t="s">
        <v>21</v>
      </c>
      <c r="E56" t="s">
        <v>764</v>
      </c>
      <c r="F56" t="s">
        <v>23</v>
      </c>
      <c r="G56" t="s">
        <v>119</v>
      </c>
      <c r="H56">
        <v>50000</v>
      </c>
      <c r="I56" t="s">
        <v>25</v>
      </c>
      <c r="J56">
        <v>50000</v>
      </c>
      <c r="K56" t="s">
        <v>25</v>
      </c>
      <c r="L56" t="s">
        <v>76</v>
      </c>
      <c r="M56" s="20">
        <v>46173</v>
      </c>
      <c r="N56" s="20">
        <v>46056</v>
      </c>
      <c r="O56" t="s">
        <v>27</v>
      </c>
      <c r="P56" t="s">
        <v>1018</v>
      </c>
      <c r="Q56" t="s">
        <v>661</v>
      </c>
      <c r="R56" t="s">
        <v>73</v>
      </c>
      <c r="S56" t="s">
        <v>1012</v>
      </c>
      <c r="T56" t="str">
        <f>IF(OR(F56="Project - Competitive",F56="Project - Not Competitive"),"New Business","Upsell")</f>
        <v>Upsell</v>
      </c>
      <c r="U56" t="str">
        <f>TEXT(M56,"mm/aaaa")</f>
        <v>05/2026</v>
      </c>
      <c r="V56" t="str">
        <f t="shared" si="0"/>
        <v/>
      </c>
      <c r="W56" s="26">
        <f t="shared" ca="1" si="1"/>
        <v>82</v>
      </c>
    </row>
    <row r="57" spans="1:23">
      <c r="A57" t="s">
        <v>373</v>
      </c>
      <c r="B57" t="s">
        <v>374</v>
      </c>
      <c r="C57" t="s">
        <v>375</v>
      </c>
      <c r="D57" t="s">
        <v>55</v>
      </c>
      <c r="E57" t="s">
        <v>376</v>
      </c>
      <c r="F57" t="s">
        <v>82</v>
      </c>
      <c r="G57" t="s">
        <v>40</v>
      </c>
      <c r="H57">
        <v>940468.92</v>
      </c>
      <c r="I57" t="s">
        <v>25</v>
      </c>
      <c r="J57">
        <v>940468.92</v>
      </c>
      <c r="K57" t="s">
        <v>25</v>
      </c>
      <c r="L57" t="s">
        <v>76</v>
      </c>
      <c r="M57" s="20">
        <v>46066</v>
      </c>
      <c r="N57" s="20">
        <v>45881</v>
      </c>
      <c r="O57" t="s">
        <v>27</v>
      </c>
      <c r="P57" t="s">
        <v>1018</v>
      </c>
      <c r="Q57" t="s">
        <v>271</v>
      </c>
      <c r="R57" t="s">
        <v>29</v>
      </c>
      <c r="S57" t="s">
        <v>1012</v>
      </c>
      <c r="T57" t="str">
        <f>IF(OR(F57="Project - Competitive",F57="Project - Not Competitive"),"New Business","Upsell")</f>
        <v>Upsell</v>
      </c>
      <c r="U57" t="str">
        <f>TEXT(M57,"mm/aaaa")</f>
        <v>02/2026</v>
      </c>
      <c r="V57">
        <f t="shared" si="0"/>
        <v>185</v>
      </c>
      <c r="W57" s="26" t="str">
        <f t="shared" ca="1" si="1"/>
        <v/>
      </c>
    </row>
    <row r="58" spans="1:23">
      <c r="A58" t="s">
        <v>925</v>
      </c>
      <c r="B58" t="s">
        <v>374</v>
      </c>
      <c r="C58" t="s">
        <v>375</v>
      </c>
      <c r="D58" t="s">
        <v>55</v>
      </c>
      <c r="E58" t="s">
        <v>640</v>
      </c>
      <c r="F58" t="s">
        <v>23</v>
      </c>
      <c r="G58" t="s">
        <v>119</v>
      </c>
      <c r="H58">
        <v>571781.5</v>
      </c>
      <c r="I58" t="s">
        <v>25</v>
      </c>
      <c r="J58">
        <v>571781.5</v>
      </c>
      <c r="K58" t="s">
        <v>25</v>
      </c>
      <c r="L58" t="s">
        <v>76</v>
      </c>
      <c r="M58" s="20">
        <v>46270</v>
      </c>
      <c r="N58" s="20">
        <v>46269</v>
      </c>
      <c r="O58" t="s">
        <v>872</v>
      </c>
      <c r="P58" t="s">
        <v>1018</v>
      </c>
      <c r="Q58" t="s">
        <v>165</v>
      </c>
      <c r="R58" t="s">
        <v>165</v>
      </c>
      <c r="S58" t="s">
        <v>1012</v>
      </c>
      <c r="T58" t="str">
        <f>IF(OR(F58="Project - Competitive",F58="Project - Not Competitive"),"New Business","Upsell")</f>
        <v>Upsell</v>
      </c>
      <c r="U58" t="str">
        <f>TEXT(M58,"mm/aaaa")</f>
        <v>09/2026</v>
      </c>
      <c r="V58" t="str">
        <f t="shared" si="0"/>
        <v/>
      </c>
      <c r="W58" s="26">
        <f t="shared" ca="1" si="1"/>
        <v>0</v>
      </c>
    </row>
    <row r="59" spans="1:23" ht="14.4" customHeight="1">
      <c r="A59" t="s">
        <v>639</v>
      </c>
      <c r="B59" t="s">
        <v>374</v>
      </c>
      <c r="C59" t="s">
        <v>375</v>
      </c>
      <c r="D59" t="s">
        <v>55</v>
      </c>
      <c r="E59" t="s">
        <v>926</v>
      </c>
      <c r="F59" t="s">
        <v>23</v>
      </c>
      <c r="G59" t="s">
        <v>24</v>
      </c>
      <c r="H59">
        <v>420</v>
      </c>
      <c r="I59" t="s">
        <v>25</v>
      </c>
      <c r="J59">
        <v>420</v>
      </c>
      <c r="K59" t="s">
        <v>25</v>
      </c>
      <c r="L59" t="s">
        <v>76</v>
      </c>
      <c r="M59" s="20">
        <v>46142</v>
      </c>
      <c r="N59" s="20">
        <v>46079</v>
      </c>
      <c r="O59" t="s">
        <v>27</v>
      </c>
      <c r="P59" t="s">
        <v>1018</v>
      </c>
      <c r="Q59" t="s">
        <v>434</v>
      </c>
      <c r="R59" t="s">
        <v>73</v>
      </c>
      <c r="S59" t="s">
        <v>1012</v>
      </c>
      <c r="T59" t="str">
        <f>IF(OR(F59="Project - Competitive",F59="Project - Not Competitive"),"New Business","Upsell")</f>
        <v>Upsell</v>
      </c>
      <c r="U59" t="str">
        <f>TEXT(M59,"mm/aaaa")</f>
        <v>04/2026</v>
      </c>
      <c r="V59" t="str">
        <f t="shared" si="0"/>
        <v/>
      </c>
      <c r="W59" s="26">
        <f t="shared" ca="1" si="1"/>
        <v>59</v>
      </c>
    </row>
    <row r="60" spans="1:23" ht="14.4" customHeight="1">
      <c r="A60" t="s">
        <v>673</v>
      </c>
      <c r="B60" t="s">
        <v>445</v>
      </c>
      <c r="C60" t="s">
        <v>1065</v>
      </c>
      <c r="D60" t="s">
        <v>132</v>
      </c>
      <c r="E60" t="s">
        <v>1055</v>
      </c>
      <c r="F60" t="s">
        <v>39</v>
      </c>
      <c r="G60" t="s">
        <v>119</v>
      </c>
      <c r="H60">
        <v>265000</v>
      </c>
      <c r="I60" t="s">
        <v>25</v>
      </c>
      <c r="J60">
        <v>57000</v>
      </c>
      <c r="K60" t="s">
        <v>25</v>
      </c>
      <c r="L60" t="s">
        <v>76</v>
      </c>
      <c r="M60" s="20">
        <v>46117</v>
      </c>
      <c r="N60" s="20">
        <v>46084</v>
      </c>
      <c r="O60" t="s">
        <v>290</v>
      </c>
      <c r="P60" t="s">
        <v>1018</v>
      </c>
      <c r="Q60" t="s">
        <v>451</v>
      </c>
      <c r="R60" t="s">
        <v>29</v>
      </c>
      <c r="S60" t="s">
        <v>1015</v>
      </c>
      <c r="T60" t="str">
        <f>IF(OR(F60="Project - Competitive",F60="Project - Not Competitive"),"New Business","Upsell")</f>
        <v>New Business</v>
      </c>
      <c r="U60" t="str">
        <f>TEXT(M60,"mm/aaaa")</f>
        <v>04/2026</v>
      </c>
      <c r="V60" t="str">
        <f t="shared" si="0"/>
        <v/>
      </c>
      <c r="W60" s="26">
        <f t="shared" ca="1" si="1"/>
        <v>54</v>
      </c>
    </row>
    <row r="61" spans="1:23" ht="14.4" customHeight="1">
      <c r="A61" t="s">
        <v>516</v>
      </c>
      <c r="B61" t="s">
        <v>517</v>
      </c>
      <c r="C61" t="s">
        <v>518</v>
      </c>
      <c r="D61" t="s">
        <v>102</v>
      </c>
      <c r="E61" t="s">
        <v>520</v>
      </c>
      <c r="F61" t="s">
        <v>23</v>
      </c>
      <c r="G61" t="s">
        <v>119</v>
      </c>
      <c r="H61">
        <v>795900.24</v>
      </c>
      <c r="I61" t="s">
        <v>25</v>
      </c>
      <c r="J61">
        <v>585047.43999999994</v>
      </c>
      <c r="K61" t="s">
        <v>25</v>
      </c>
      <c r="L61" t="s">
        <v>76</v>
      </c>
      <c r="M61" s="20">
        <v>46173</v>
      </c>
      <c r="N61" s="20">
        <v>46114</v>
      </c>
      <c r="O61" t="s">
        <v>27</v>
      </c>
      <c r="P61" t="s">
        <v>1018</v>
      </c>
      <c r="Q61" t="s">
        <v>252</v>
      </c>
      <c r="R61" t="s">
        <v>185</v>
      </c>
      <c r="S61" t="s">
        <v>1012</v>
      </c>
      <c r="T61" t="str">
        <f>IF(OR(F61="Project - Competitive",F61="Project - Not Competitive"),"New Business","Upsell")</f>
        <v>Upsell</v>
      </c>
      <c r="U61" t="str">
        <f>TEXT(M61,"mm/aaaa")</f>
        <v>05/2026</v>
      </c>
      <c r="V61" t="str">
        <f t="shared" si="0"/>
        <v/>
      </c>
      <c r="W61" s="26">
        <f t="shared" ca="1" si="1"/>
        <v>24</v>
      </c>
    </row>
    <row r="62" spans="1:23" ht="14.4" customHeight="1">
      <c r="A62" t="s">
        <v>74</v>
      </c>
      <c r="B62" t="s">
        <v>19</v>
      </c>
      <c r="C62" t="s">
        <v>20</v>
      </c>
      <c r="D62" t="s">
        <v>21</v>
      </c>
      <c r="E62" t="s">
        <v>403</v>
      </c>
      <c r="F62" t="s">
        <v>23</v>
      </c>
      <c r="G62" t="s">
        <v>40</v>
      </c>
      <c r="H62">
        <v>490928.88</v>
      </c>
      <c r="I62" t="s">
        <v>25</v>
      </c>
      <c r="J62">
        <v>490928.88</v>
      </c>
      <c r="K62" t="s">
        <v>25</v>
      </c>
      <c r="L62" t="s">
        <v>76</v>
      </c>
      <c r="M62" s="20">
        <v>46266</v>
      </c>
      <c r="N62" s="20">
        <v>45890</v>
      </c>
      <c r="O62" t="s">
        <v>27</v>
      </c>
      <c r="P62" t="s">
        <v>1018</v>
      </c>
      <c r="Q62" t="s">
        <v>77</v>
      </c>
      <c r="R62" t="s">
        <v>29</v>
      </c>
      <c r="S62" t="s">
        <v>1012</v>
      </c>
      <c r="T62" t="str">
        <f>IF(OR(F62="Project - Competitive",F62="Project - Not Competitive"),"New Business","Upsell")</f>
        <v>Upsell</v>
      </c>
      <c r="U62" t="str">
        <f>TEXT(M62,"mm/aaaa")</f>
        <v>09/2026</v>
      </c>
      <c r="V62">
        <f t="shared" si="0"/>
        <v>376</v>
      </c>
      <c r="W62" s="26" t="str">
        <f t="shared" ca="1" si="1"/>
        <v/>
      </c>
    </row>
    <row r="63" spans="1:23">
      <c r="A63" t="s">
        <v>800</v>
      </c>
      <c r="B63" t="s">
        <v>801</v>
      </c>
      <c r="C63" t="s">
        <v>802</v>
      </c>
      <c r="D63" t="s">
        <v>298</v>
      </c>
      <c r="E63" t="s">
        <v>803</v>
      </c>
      <c r="F63" t="s">
        <v>49</v>
      </c>
      <c r="G63" t="s">
        <v>119</v>
      </c>
      <c r="H63">
        <v>500000</v>
      </c>
      <c r="I63" t="s">
        <v>25</v>
      </c>
      <c r="J63">
        <v>500000</v>
      </c>
      <c r="K63" t="s">
        <v>25</v>
      </c>
      <c r="L63" t="s">
        <v>76</v>
      </c>
      <c r="M63" s="20">
        <v>46173</v>
      </c>
      <c r="N63" s="20">
        <v>46104</v>
      </c>
      <c r="O63" t="s">
        <v>804</v>
      </c>
      <c r="P63" t="s">
        <v>1018</v>
      </c>
      <c r="Q63" t="s">
        <v>472</v>
      </c>
      <c r="R63" t="s">
        <v>29</v>
      </c>
      <c r="S63" t="s">
        <v>1016</v>
      </c>
      <c r="T63" t="str">
        <f>IF(OR(F63="Project - Competitive",F63="Project - Not Competitive"),"New Business","Upsell")</f>
        <v>New Business</v>
      </c>
      <c r="U63" t="str">
        <f>TEXT(M63,"mm/aaaa")</f>
        <v>05/2026</v>
      </c>
      <c r="V63" t="str">
        <f t="shared" si="0"/>
        <v/>
      </c>
      <c r="W63" s="26">
        <f t="shared" ca="1" si="1"/>
        <v>34</v>
      </c>
    </row>
    <row r="64" spans="1:23">
      <c r="A64" t="s">
        <v>712</v>
      </c>
      <c r="B64" t="s">
        <v>713</v>
      </c>
      <c r="C64" t="s">
        <v>714</v>
      </c>
      <c r="D64" t="s">
        <v>175</v>
      </c>
      <c r="E64" t="s">
        <v>717</v>
      </c>
      <c r="F64" t="s">
        <v>82</v>
      </c>
      <c r="G64" t="s">
        <v>24</v>
      </c>
      <c r="H64">
        <v>1993383.1199999999</v>
      </c>
      <c r="I64" t="s">
        <v>25</v>
      </c>
      <c r="J64">
        <v>401829.72</v>
      </c>
      <c r="K64" t="s">
        <v>25</v>
      </c>
      <c r="L64" t="s">
        <v>76</v>
      </c>
      <c r="M64" s="20">
        <v>46059</v>
      </c>
      <c r="N64" s="20">
        <v>46268</v>
      </c>
      <c r="O64" t="s">
        <v>27</v>
      </c>
      <c r="P64" t="s">
        <v>1018</v>
      </c>
      <c r="Q64" t="s">
        <v>446</v>
      </c>
      <c r="R64" t="s">
        <v>29</v>
      </c>
      <c r="S64" t="s">
        <v>1012</v>
      </c>
      <c r="T64" t="str">
        <f>IF(OR(F64="Project - Competitive",F64="Project - Not Competitive"),"New Business","Upsell")</f>
        <v>Upsell</v>
      </c>
      <c r="U64" t="str">
        <f>TEXT(M64,"mm/aaaa")</f>
        <v>02/2026</v>
      </c>
      <c r="V64" t="str">
        <f t="shared" si="0"/>
        <v/>
      </c>
      <c r="W64" s="26">
        <f t="shared" ca="1" si="1"/>
        <v>0</v>
      </c>
    </row>
    <row r="65" spans="1:23">
      <c r="A65" t="s">
        <v>835</v>
      </c>
      <c r="B65" t="s">
        <v>412</v>
      </c>
      <c r="C65" t="s">
        <v>413</v>
      </c>
      <c r="D65" t="s">
        <v>55</v>
      </c>
      <c r="E65" t="s">
        <v>837</v>
      </c>
      <c r="F65" t="s">
        <v>23</v>
      </c>
      <c r="G65" t="s">
        <v>119</v>
      </c>
      <c r="H65">
        <v>838800</v>
      </c>
      <c r="I65" t="s">
        <v>25</v>
      </c>
      <c r="J65">
        <v>144000</v>
      </c>
      <c r="K65" t="s">
        <v>25</v>
      </c>
      <c r="L65" t="s">
        <v>76</v>
      </c>
      <c r="M65" s="20">
        <v>46203</v>
      </c>
      <c r="N65" s="20">
        <v>46111</v>
      </c>
      <c r="O65" t="s">
        <v>554</v>
      </c>
      <c r="P65" t="s">
        <v>58</v>
      </c>
      <c r="Q65" t="s">
        <v>324</v>
      </c>
      <c r="R65" t="s">
        <v>29</v>
      </c>
      <c r="S65" t="s">
        <v>1012</v>
      </c>
      <c r="T65" t="str">
        <f>IF(OR(F65="Project - Competitive",F65="Project - Not Competitive"),"New Business","Upsell")</f>
        <v>Upsell</v>
      </c>
      <c r="U65" t="str">
        <f>TEXT(M65,"mm/aaaa")</f>
        <v>06/2026</v>
      </c>
      <c r="V65" t="str">
        <f t="shared" si="0"/>
        <v/>
      </c>
      <c r="W65" s="26">
        <f t="shared" ca="1" si="1"/>
        <v>27</v>
      </c>
    </row>
    <row r="66" spans="1:23" ht="14.4" customHeight="1">
      <c r="A66" t="s">
        <v>447</v>
      </c>
      <c r="B66" t="s">
        <v>448</v>
      </c>
      <c r="C66" t="s">
        <v>449</v>
      </c>
      <c r="D66" t="s">
        <v>328</v>
      </c>
      <c r="E66" t="s">
        <v>638</v>
      </c>
      <c r="F66" t="s">
        <v>23</v>
      </c>
      <c r="G66" t="s">
        <v>40</v>
      </c>
      <c r="H66">
        <v>30051.61</v>
      </c>
      <c r="I66" t="s">
        <v>25</v>
      </c>
      <c r="J66">
        <v>30051.61</v>
      </c>
      <c r="K66" t="s">
        <v>25</v>
      </c>
      <c r="L66" t="s">
        <v>31</v>
      </c>
      <c r="M66" s="20">
        <v>46107</v>
      </c>
      <c r="N66" s="20">
        <v>46037</v>
      </c>
      <c r="O66" t="s">
        <v>27</v>
      </c>
      <c r="P66" t="s">
        <v>1018</v>
      </c>
      <c r="Q66" t="s">
        <v>451</v>
      </c>
      <c r="R66" t="s">
        <v>73</v>
      </c>
      <c r="S66" t="s">
        <v>1012</v>
      </c>
      <c r="T66" t="str">
        <f>IF(OR(F66="Project - Competitive",F66="Project - Not Competitive"),"New Business","Upsell")</f>
        <v>Upsell</v>
      </c>
      <c r="U66" t="str">
        <f>TEXT(M66,"mm/aaaa")</f>
        <v>03/2026</v>
      </c>
      <c r="V66">
        <f t="shared" si="0"/>
        <v>70</v>
      </c>
      <c r="W66" s="26" t="str">
        <f t="shared" ca="1" si="1"/>
        <v/>
      </c>
    </row>
    <row r="67" spans="1:23" ht="14.4" customHeight="1">
      <c r="A67" t="s">
        <v>567</v>
      </c>
      <c r="B67" t="s">
        <v>568</v>
      </c>
      <c r="C67" t="s">
        <v>569</v>
      </c>
      <c r="D67" t="s">
        <v>95</v>
      </c>
      <c r="E67" t="s">
        <v>570</v>
      </c>
      <c r="F67" t="s">
        <v>23</v>
      </c>
      <c r="G67" t="s">
        <v>119</v>
      </c>
      <c r="H67">
        <v>800000</v>
      </c>
      <c r="I67" t="s">
        <v>25</v>
      </c>
      <c r="J67">
        <v>800000</v>
      </c>
      <c r="K67" t="s">
        <v>25</v>
      </c>
      <c r="L67" t="s">
        <v>31</v>
      </c>
      <c r="M67" s="20">
        <v>46173</v>
      </c>
      <c r="N67" s="20">
        <v>46358</v>
      </c>
      <c r="O67" t="s">
        <v>27</v>
      </c>
      <c r="P67" t="s">
        <v>58</v>
      </c>
      <c r="Q67" t="s">
        <v>29</v>
      </c>
      <c r="R67" t="s">
        <v>29</v>
      </c>
      <c r="S67" t="s">
        <v>1012</v>
      </c>
      <c r="T67" t="str">
        <f>IF(OR(F67="Project - Competitive",F67="Project - Not Competitive"),"New Business","Upsell")</f>
        <v>Upsell</v>
      </c>
      <c r="U67" t="str">
        <f>TEXT(M67,"mm/aaaa")</f>
        <v>05/2026</v>
      </c>
      <c r="V67" t="str">
        <f t="shared" ref="V67:V130" si="2">IF(AND(G67="Closed Won",M67&gt;N67),M67-N67,"")</f>
        <v/>
      </c>
      <c r="W67" s="26">
        <f t="shared" ref="W67:W130" ca="1" si="3">IF(G67&lt;&gt;"Closed Won",MAX(0,TODAY()-N67),"")</f>
        <v>0</v>
      </c>
    </row>
    <row r="68" spans="1:23">
      <c r="A68" t="s">
        <v>186</v>
      </c>
      <c r="B68" t="s">
        <v>187</v>
      </c>
      <c r="C68" t="s">
        <v>188</v>
      </c>
      <c r="D68" t="s">
        <v>47</v>
      </c>
      <c r="E68" t="s">
        <v>192</v>
      </c>
      <c r="F68" t="s">
        <v>190</v>
      </c>
      <c r="G68" t="s">
        <v>119</v>
      </c>
      <c r="H68">
        <v>36000</v>
      </c>
      <c r="I68" t="s">
        <v>25</v>
      </c>
      <c r="J68">
        <v>12000</v>
      </c>
      <c r="K68" t="s">
        <v>25</v>
      </c>
      <c r="L68" t="s">
        <v>31</v>
      </c>
      <c r="M68" s="20">
        <v>46202</v>
      </c>
      <c r="N68" s="20">
        <v>45950</v>
      </c>
      <c r="O68" t="s">
        <v>135</v>
      </c>
      <c r="P68" t="s">
        <v>1018</v>
      </c>
      <c r="Q68" t="s">
        <v>191</v>
      </c>
      <c r="R68" t="s">
        <v>29</v>
      </c>
      <c r="S68" t="s">
        <v>1014</v>
      </c>
      <c r="T68" t="str">
        <f>IF(OR(F68="Project - Competitive",F68="Project - Not Competitive"),"New Business","Upsell")</f>
        <v>Upsell</v>
      </c>
      <c r="U68" t="str">
        <f>TEXT(M68,"mm/aaaa")</f>
        <v>06/2026</v>
      </c>
      <c r="V68" t="str">
        <f t="shared" si="2"/>
        <v/>
      </c>
      <c r="W68" s="26">
        <f t="shared" ca="1" si="3"/>
        <v>188</v>
      </c>
    </row>
    <row r="69" spans="1:23" ht="14.4" customHeight="1">
      <c r="A69" t="s">
        <v>493</v>
      </c>
      <c r="B69" t="s">
        <v>494</v>
      </c>
      <c r="C69" t="s">
        <v>495</v>
      </c>
      <c r="D69" t="s">
        <v>126</v>
      </c>
      <c r="E69" t="s">
        <v>500</v>
      </c>
      <c r="F69" t="s">
        <v>23</v>
      </c>
      <c r="G69" t="s">
        <v>119</v>
      </c>
      <c r="H69">
        <v>4565828.57</v>
      </c>
      <c r="I69" t="s">
        <v>25</v>
      </c>
      <c r="J69">
        <v>578334.1</v>
      </c>
      <c r="K69" t="s">
        <v>25</v>
      </c>
      <c r="L69" t="s">
        <v>31</v>
      </c>
      <c r="M69" s="20">
        <v>46203</v>
      </c>
      <c r="N69" s="20">
        <v>46048</v>
      </c>
      <c r="O69" t="s">
        <v>27</v>
      </c>
      <c r="P69" t="s">
        <v>58</v>
      </c>
      <c r="Q69" t="s">
        <v>164</v>
      </c>
      <c r="R69" t="s">
        <v>29</v>
      </c>
      <c r="S69" t="s">
        <v>1012</v>
      </c>
      <c r="T69" t="str">
        <f>IF(OR(F69="Project - Competitive",F69="Project - Not Competitive"),"New Business","Upsell")</f>
        <v>Upsell</v>
      </c>
      <c r="U69" t="str">
        <f>TEXT(M69,"mm/aaaa")</f>
        <v>06/2026</v>
      </c>
      <c r="V69" t="str">
        <f t="shared" si="2"/>
        <v/>
      </c>
      <c r="W69" s="26">
        <f t="shared" ca="1" si="3"/>
        <v>90</v>
      </c>
    </row>
    <row r="70" spans="1:23">
      <c r="A70" t="s">
        <v>501</v>
      </c>
      <c r="B70" t="s">
        <v>296</v>
      </c>
      <c r="C70" t="s">
        <v>297</v>
      </c>
      <c r="D70" t="s">
        <v>298</v>
      </c>
      <c r="E70" t="s">
        <v>502</v>
      </c>
      <c r="F70" t="s">
        <v>49</v>
      </c>
      <c r="G70" t="s">
        <v>40</v>
      </c>
      <c r="H70">
        <v>90000</v>
      </c>
      <c r="I70" t="s">
        <v>25</v>
      </c>
      <c r="J70">
        <v>90000</v>
      </c>
      <c r="K70" t="s">
        <v>25</v>
      </c>
      <c r="L70" t="s">
        <v>31</v>
      </c>
      <c r="M70" s="20">
        <v>46049</v>
      </c>
      <c r="N70" s="20">
        <v>46048</v>
      </c>
      <c r="O70" t="s">
        <v>27</v>
      </c>
      <c r="P70" t="s">
        <v>58</v>
      </c>
      <c r="Q70" t="s">
        <v>306</v>
      </c>
      <c r="R70" t="s">
        <v>122</v>
      </c>
      <c r="S70" t="s">
        <v>1012</v>
      </c>
      <c r="T70" t="str">
        <f>IF(OR(F70="Project - Competitive",F70="Project - Not Competitive"),"New Business","Upsell")</f>
        <v>New Business</v>
      </c>
      <c r="U70" t="str">
        <f>TEXT(M70,"mm/aaaa")</f>
        <v>01/2026</v>
      </c>
      <c r="V70">
        <f t="shared" si="2"/>
        <v>1</v>
      </c>
      <c r="W70" s="26" t="str">
        <f t="shared" ca="1" si="3"/>
        <v/>
      </c>
    </row>
    <row r="71" spans="1:23">
      <c r="A71" t="s">
        <v>975</v>
      </c>
      <c r="B71" t="s">
        <v>976</v>
      </c>
      <c r="C71" t="s">
        <v>977</v>
      </c>
      <c r="D71" t="s">
        <v>203</v>
      </c>
      <c r="E71" t="s">
        <v>979</v>
      </c>
      <c r="F71" t="s">
        <v>39</v>
      </c>
      <c r="G71" t="s">
        <v>112</v>
      </c>
      <c r="H71">
        <v>0</v>
      </c>
      <c r="I71" t="s">
        <v>25</v>
      </c>
      <c r="J71">
        <v>0</v>
      </c>
      <c r="K71" t="s">
        <v>25</v>
      </c>
      <c r="L71" t="s">
        <v>31</v>
      </c>
      <c r="M71" s="20">
        <v>46155</v>
      </c>
      <c r="N71" s="20">
        <v>46125</v>
      </c>
      <c r="O71" t="s">
        <v>50</v>
      </c>
      <c r="P71" t="s">
        <v>1018</v>
      </c>
      <c r="Q71" t="s">
        <v>73</v>
      </c>
      <c r="S71" t="s">
        <v>1015</v>
      </c>
      <c r="T71" t="str">
        <f>IF(OR(F71="Project - Competitive",F71="Project - Not Competitive"),"New Business","Upsell")</f>
        <v>New Business</v>
      </c>
      <c r="U71" t="str">
        <f>TEXT(M71,"mm/aaaa")</f>
        <v>05/2026</v>
      </c>
      <c r="V71" t="str">
        <f t="shared" si="2"/>
        <v/>
      </c>
      <c r="W71" s="26">
        <f t="shared" ca="1" si="3"/>
        <v>13</v>
      </c>
    </row>
    <row r="72" spans="1:23">
      <c r="A72" t="s">
        <v>369</v>
      </c>
      <c r="B72" t="s">
        <v>217</v>
      </c>
      <c r="C72" t="s">
        <v>218</v>
      </c>
      <c r="D72" t="s">
        <v>55</v>
      </c>
      <c r="E72" t="s">
        <v>279</v>
      </c>
      <c r="F72" t="s">
        <v>82</v>
      </c>
      <c r="G72" t="s">
        <v>40</v>
      </c>
      <c r="H72">
        <v>1546078.56</v>
      </c>
      <c r="I72" t="s">
        <v>25</v>
      </c>
      <c r="J72">
        <v>1229366.3999999999</v>
      </c>
      <c r="K72" t="s">
        <v>25</v>
      </c>
      <c r="L72" t="s">
        <v>31</v>
      </c>
      <c r="M72" s="20">
        <v>46359</v>
      </c>
      <c r="N72" s="20">
        <v>45881</v>
      </c>
      <c r="O72" t="s">
        <v>27</v>
      </c>
      <c r="P72" t="s">
        <v>1018</v>
      </c>
      <c r="Q72" t="s">
        <v>164</v>
      </c>
      <c r="R72" t="s">
        <v>29</v>
      </c>
      <c r="S72" t="s">
        <v>1012</v>
      </c>
      <c r="T72" t="str">
        <f>IF(OR(F72="Project - Competitive",F72="Project - Not Competitive"),"New Business","Upsell")</f>
        <v>Upsell</v>
      </c>
      <c r="U72" t="str">
        <f>TEXT(M72,"mm/aaaa")</f>
        <v>12/2026</v>
      </c>
      <c r="V72">
        <f t="shared" si="2"/>
        <v>478</v>
      </c>
      <c r="W72" s="26" t="str">
        <f t="shared" ca="1" si="3"/>
        <v/>
      </c>
    </row>
    <row r="73" spans="1:23">
      <c r="A73" t="s">
        <v>276</v>
      </c>
      <c r="B73" t="s">
        <v>217</v>
      </c>
      <c r="C73" t="s">
        <v>218</v>
      </c>
      <c r="D73" t="s">
        <v>55</v>
      </c>
      <c r="E73" t="s">
        <v>280</v>
      </c>
      <c r="F73" t="s">
        <v>23</v>
      </c>
      <c r="G73" t="s">
        <v>40</v>
      </c>
      <c r="H73">
        <v>604944.24</v>
      </c>
      <c r="I73" t="s">
        <v>25</v>
      </c>
      <c r="J73">
        <v>307704.36</v>
      </c>
      <c r="K73" t="s">
        <v>25</v>
      </c>
      <c r="L73" t="s">
        <v>31</v>
      </c>
      <c r="M73" s="20">
        <v>46078</v>
      </c>
      <c r="N73" s="20">
        <v>45978</v>
      </c>
      <c r="O73" t="s">
        <v>27</v>
      </c>
      <c r="P73" t="s">
        <v>1018</v>
      </c>
      <c r="Q73" t="s">
        <v>278</v>
      </c>
      <c r="R73" t="s">
        <v>29</v>
      </c>
      <c r="S73" t="s">
        <v>1012</v>
      </c>
      <c r="T73" t="str">
        <f>IF(OR(F73="Project - Competitive",F73="Project - Not Competitive"),"New Business","Upsell")</f>
        <v>Upsell</v>
      </c>
      <c r="U73" t="str">
        <f>TEXT(M73,"mm/aaaa")</f>
        <v>02/2026</v>
      </c>
      <c r="V73">
        <f t="shared" si="2"/>
        <v>100</v>
      </c>
      <c r="W73" s="26" t="str">
        <f t="shared" ca="1" si="3"/>
        <v/>
      </c>
    </row>
    <row r="74" spans="1:23" ht="14.4" customHeight="1">
      <c r="A74" t="s">
        <v>527</v>
      </c>
      <c r="B74" t="s">
        <v>217</v>
      </c>
      <c r="C74" t="s">
        <v>218</v>
      </c>
      <c r="D74" t="s">
        <v>55</v>
      </c>
      <c r="E74" t="s">
        <v>372</v>
      </c>
      <c r="F74" t="s">
        <v>23</v>
      </c>
      <c r="G74" t="s">
        <v>40</v>
      </c>
      <c r="H74">
        <v>58838.400000000001</v>
      </c>
      <c r="I74" t="s">
        <v>25</v>
      </c>
      <c r="J74">
        <v>58838.400000000001</v>
      </c>
      <c r="K74" t="s">
        <v>25</v>
      </c>
      <c r="L74" t="s">
        <v>31</v>
      </c>
      <c r="M74" s="20">
        <v>46107</v>
      </c>
      <c r="N74" s="20">
        <v>46114</v>
      </c>
      <c r="O74" t="s">
        <v>27</v>
      </c>
      <c r="P74" t="s">
        <v>1018</v>
      </c>
      <c r="Q74" t="s">
        <v>451</v>
      </c>
      <c r="R74" t="s">
        <v>29</v>
      </c>
      <c r="S74" t="s">
        <v>1012</v>
      </c>
      <c r="T74" t="str">
        <f>IF(OR(F74="Project - Competitive",F74="Project - Not Competitive"),"New Business","Upsell")</f>
        <v>Upsell</v>
      </c>
      <c r="U74" t="str">
        <f>TEXT(M74,"mm/aaaa")</f>
        <v>03/2026</v>
      </c>
      <c r="V74" t="str">
        <f t="shared" si="2"/>
        <v/>
      </c>
      <c r="W74" s="26" t="str">
        <f t="shared" ca="1" si="3"/>
        <v/>
      </c>
    </row>
    <row r="75" spans="1:23" ht="14.4" customHeight="1">
      <c r="A75" t="s">
        <v>854</v>
      </c>
      <c r="B75" t="s">
        <v>217</v>
      </c>
      <c r="C75" t="s">
        <v>218</v>
      </c>
      <c r="D75" t="s">
        <v>55</v>
      </c>
      <c r="E75" t="s">
        <v>372</v>
      </c>
      <c r="F75" t="s">
        <v>23</v>
      </c>
      <c r="G75" t="s">
        <v>66</v>
      </c>
      <c r="H75">
        <v>54000</v>
      </c>
      <c r="I75" t="s">
        <v>25</v>
      </c>
      <c r="J75">
        <v>54000</v>
      </c>
      <c r="K75" t="s">
        <v>25</v>
      </c>
      <c r="L75" t="s">
        <v>31</v>
      </c>
      <c r="M75" s="20">
        <v>46173</v>
      </c>
      <c r="N75" s="20">
        <v>46111</v>
      </c>
      <c r="O75" t="s">
        <v>27</v>
      </c>
      <c r="P75" t="s">
        <v>1018</v>
      </c>
      <c r="Q75" t="s">
        <v>446</v>
      </c>
      <c r="R75" t="s">
        <v>185</v>
      </c>
      <c r="S75" t="s">
        <v>1012</v>
      </c>
      <c r="T75" t="str">
        <f>IF(OR(F75="Project - Competitive",F75="Project - Not Competitive"),"New Business","Upsell")</f>
        <v>Upsell</v>
      </c>
      <c r="U75" t="str">
        <f>TEXT(M75,"mm/aaaa")</f>
        <v>05/2026</v>
      </c>
      <c r="V75" t="str">
        <f t="shared" si="2"/>
        <v/>
      </c>
      <c r="W75" s="26">
        <f t="shared" ca="1" si="3"/>
        <v>27</v>
      </c>
    </row>
    <row r="76" spans="1:23" ht="14.4" customHeight="1">
      <c r="A76" t="s">
        <v>507</v>
      </c>
      <c r="B76" t="s">
        <v>217</v>
      </c>
      <c r="C76" t="s">
        <v>218</v>
      </c>
      <c r="D76" t="s">
        <v>55</v>
      </c>
      <c r="E76" t="s">
        <v>372</v>
      </c>
      <c r="F76" t="s">
        <v>23</v>
      </c>
      <c r="G76" t="s">
        <v>40</v>
      </c>
      <c r="H76">
        <v>29205.38</v>
      </c>
      <c r="I76" t="s">
        <v>25</v>
      </c>
      <c r="J76">
        <v>29205.38</v>
      </c>
      <c r="K76" t="s">
        <v>25</v>
      </c>
      <c r="L76" t="s">
        <v>31</v>
      </c>
      <c r="M76" s="20">
        <v>46359</v>
      </c>
      <c r="N76" s="20">
        <v>46051</v>
      </c>
      <c r="O76" t="s">
        <v>27</v>
      </c>
      <c r="P76" t="s">
        <v>1018</v>
      </c>
      <c r="Q76" t="s">
        <v>164</v>
      </c>
      <c r="R76" t="s">
        <v>73</v>
      </c>
      <c r="S76" t="s">
        <v>1012</v>
      </c>
      <c r="T76" t="str">
        <f>IF(OR(F76="Project - Competitive",F76="Project - Not Competitive"),"New Business","Upsell")</f>
        <v>Upsell</v>
      </c>
      <c r="U76" t="str">
        <f>TEXT(M76,"mm/aaaa")</f>
        <v>12/2026</v>
      </c>
      <c r="V76">
        <f t="shared" si="2"/>
        <v>308</v>
      </c>
      <c r="W76" s="26" t="str">
        <f t="shared" ca="1" si="3"/>
        <v/>
      </c>
    </row>
    <row r="77" spans="1:23" ht="14.4" customHeight="1">
      <c r="A77" t="s">
        <v>216</v>
      </c>
      <c r="B77" t="s">
        <v>217</v>
      </c>
      <c r="C77" t="s">
        <v>218</v>
      </c>
      <c r="D77" t="s">
        <v>55</v>
      </c>
      <c r="E77" t="s">
        <v>771</v>
      </c>
      <c r="F77" t="s">
        <v>23</v>
      </c>
      <c r="G77" t="s">
        <v>40</v>
      </c>
      <c r="H77">
        <v>21044.400000000001</v>
      </c>
      <c r="I77" t="s">
        <v>25</v>
      </c>
      <c r="J77">
        <v>21044.400000000001</v>
      </c>
      <c r="K77" t="s">
        <v>25</v>
      </c>
      <c r="L77" t="s">
        <v>31</v>
      </c>
      <c r="M77" s="20">
        <v>46044</v>
      </c>
      <c r="N77" s="20">
        <v>45960</v>
      </c>
      <c r="O77" t="s">
        <v>27</v>
      </c>
      <c r="P77" t="s">
        <v>1018</v>
      </c>
      <c r="Q77" t="s">
        <v>128</v>
      </c>
      <c r="R77" t="s">
        <v>73</v>
      </c>
      <c r="S77" t="s">
        <v>1012</v>
      </c>
      <c r="T77" t="str">
        <f>IF(OR(F77="Project - Competitive",F77="Project - Not Competitive"),"New Business","Upsell")</f>
        <v>Upsell</v>
      </c>
      <c r="U77" t="str">
        <f>TEXT(M77,"mm/aaaa")</f>
        <v>01/2026</v>
      </c>
      <c r="V77">
        <f t="shared" si="2"/>
        <v>84</v>
      </c>
      <c r="W77" s="26" t="str">
        <f t="shared" ca="1" si="3"/>
        <v/>
      </c>
    </row>
    <row r="78" spans="1:23" ht="14.4" customHeight="1">
      <c r="A78" t="s">
        <v>881</v>
      </c>
      <c r="B78" t="s">
        <v>688</v>
      </c>
      <c r="C78" t="s">
        <v>689</v>
      </c>
      <c r="D78" t="s">
        <v>328</v>
      </c>
      <c r="E78" t="s">
        <v>882</v>
      </c>
      <c r="F78" t="s">
        <v>23</v>
      </c>
      <c r="G78" t="s">
        <v>330</v>
      </c>
      <c r="H78">
        <v>120000</v>
      </c>
      <c r="I78" t="s">
        <v>25</v>
      </c>
      <c r="J78">
        <v>120000</v>
      </c>
      <c r="K78" t="s">
        <v>25</v>
      </c>
      <c r="L78" t="s">
        <v>31</v>
      </c>
      <c r="M78" s="20">
        <v>46173</v>
      </c>
      <c r="N78" s="20">
        <v>46057</v>
      </c>
      <c r="O78" t="s">
        <v>27</v>
      </c>
      <c r="P78" t="s">
        <v>1018</v>
      </c>
      <c r="Q78" t="s">
        <v>29</v>
      </c>
      <c r="R78" t="s">
        <v>122</v>
      </c>
      <c r="S78" t="s">
        <v>1012</v>
      </c>
      <c r="T78" t="str">
        <f>IF(OR(F78="Project - Competitive",F78="Project - Not Competitive"),"New Business","Upsell")</f>
        <v>Upsell</v>
      </c>
      <c r="U78" t="str">
        <f>TEXT(M78,"mm/aaaa")</f>
        <v>05/2026</v>
      </c>
      <c r="V78" t="str">
        <f t="shared" si="2"/>
        <v/>
      </c>
      <c r="W78" s="26">
        <f t="shared" ca="1" si="3"/>
        <v>81</v>
      </c>
    </row>
    <row r="79" spans="1:23" ht="14.4" customHeight="1">
      <c r="A79" t="s">
        <v>488</v>
      </c>
      <c r="B79" t="s">
        <v>489</v>
      </c>
      <c r="C79" t="s">
        <v>490</v>
      </c>
      <c r="D79" t="s">
        <v>298</v>
      </c>
      <c r="E79" t="s">
        <v>491</v>
      </c>
      <c r="F79" t="s">
        <v>39</v>
      </c>
      <c r="G79" t="s">
        <v>24</v>
      </c>
      <c r="H79">
        <v>360655.14</v>
      </c>
      <c r="I79" t="s">
        <v>25</v>
      </c>
      <c r="J79">
        <v>63055.14</v>
      </c>
      <c r="K79" t="s">
        <v>25</v>
      </c>
      <c r="L79" t="s">
        <v>31</v>
      </c>
      <c r="M79" s="20">
        <v>46125</v>
      </c>
      <c r="N79" s="20">
        <v>46045</v>
      </c>
      <c r="O79" t="s">
        <v>554</v>
      </c>
      <c r="P79" t="s">
        <v>58</v>
      </c>
      <c r="Q79" t="s">
        <v>88</v>
      </c>
      <c r="R79" t="s">
        <v>29</v>
      </c>
      <c r="S79" t="s">
        <v>1012</v>
      </c>
      <c r="T79" t="str">
        <f>IF(OR(F79="Project - Competitive",F79="Project - Not Competitive"),"New Business","Upsell")</f>
        <v>New Business</v>
      </c>
      <c r="U79" t="str">
        <f>TEXT(M79,"mm/aaaa")</f>
        <v>04/2026</v>
      </c>
      <c r="V79" t="str">
        <f t="shared" si="2"/>
        <v/>
      </c>
      <c r="W79" s="26">
        <f t="shared" ca="1" si="3"/>
        <v>93</v>
      </c>
    </row>
    <row r="80" spans="1:23" ht="14.4" customHeight="1">
      <c r="A80" t="s">
        <v>340</v>
      </c>
      <c r="B80" t="s">
        <v>341</v>
      </c>
      <c r="C80" t="s">
        <v>342</v>
      </c>
      <c r="D80" t="s">
        <v>147</v>
      </c>
      <c r="E80" t="s">
        <v>343</v>
      </c>
      <c r="F80" t="s">
        <v>39</v>
      </c>
      <c r="G80" t="s">
        <v>66</v>
      </c>
      <c r="H80">
        <v>2627267.83</v>
      </c>
      <c r="I80" t="s">
        <v>25</v>
      </c>
      <c r="J80">
        <v>813135.72</v>
      </c>
      <c r="K80" t="s">
        <v>25</v>
      </c>
      <c r="L80" t="s">
        <v>31</v>
      </c>
      <c r="M80" s="20">
        <v>46331</v>
      </c>
      <c r="N80" s="20">
        <v>45669</v>
      </c>
      <c r="O80" t="s">
        <v>290</v>
      </c>
      <c r="P80" t="s">
        <v>58</v>
      </c>
      <c r="Q80" t="s">
        <v>344</v>
      </c>
      <c r="R80" t="s">
        <v>29</v>
      </c>
      <c r="S80" t="s">
        <v>1015</v>
      </c>
      <c r="T80" t="str">
        <f>IF(OR(F80="Project - Competitive",F80="Project - Not Competitive"),"New Business","Upsell")</f>
        <v>New Business</v>
      </c>
      <c r="U80" t="str">
        <f>TEXT(M80,"mm/aaaa")</f>
        <v>11/2026</v>
      </c>
      <c r="V80" t="str">
        <f t="shared" si="2"/>
        <v/>
      </c>
      <c r="W80" s="26">
        <f t="shared" ca="1" si="3"/>
        <v>469</v>
      </c>
    </row>
    <row r="81" spans="1:23">
      <c r="A81" t="s">
        <v>18</v>
      </c>
      <c r="B81" t="s">
        <v>19</v>
      </c>
      <c r="C81" t="s">
        <v>20</v>
      </c>
      <c r="D81" t="s">
        <v>21</v>
      </c>
      <c r="E81" t="s">
        <v>30</v>
      </c>
      <c r="F81" t="s">
        <v>23</v>
      </c>
      <c r="G81" t="s">
        <v>24</v>
      </c>
      <c r="H81">
        <v>3043949.95</v>
      </c>
      <c r="I81" t="s">
        <v>25</v>
      </c>
      <c r="J81">
        <v>1475924.6</v>
      </c>
      <c r="K81" t="s">
        <v>25</v>
      </c>
      <c r="L81" t="s">
        <v>31</v>
      </c>
      <c r="M81" s="20">
        <v>46142</v>
      </c>
      <c r="N81" s="20">
        <v>45796</v>
      </c>
      <c r="O81" t="s">
        <v>27</v>
      </c>
      <c r="P81" t="s">
        <v>1018</v>
      </c>
      <c r="Q81" t="s">
        <v>28</v>
      </c>
      <c r="R81" t="s">
        <v>29</v>
      </c>
      <c r="S81" t="s">
        <v>1012</v>
      </c>
      <c r="T81" t="str">
        <f>IF(OR(F81="Project - Competitive",F81="Project - Not Competitive"),"New Business","Upsell")</f>
        <v>Upsell</v>
      </c>
      <c r="U81" t="str">
        <f>TEXT(M81,"mm/aaaa")</f>
        <v>04/2026</v>
      </c>
      <c r="V81" t="str">
        <f t="shared" si="2"/>
        <v/>
      </c>
      <c r="W81" s="26">
        <f t="shared" ca="1" si="3"/>
        <v>342</v>
      </c>
    </row>
    <row r="82" spans="1:23">
      <c r="A82" t="s">
        <v>825</v>
      </c>
      <c r="B82" t="s">
        <v>564</v>
      </c>
      <c r="C82" t="s">
        <v>565</v>
      </c>
      <c r="D82" t="s">
        <v>95</v>
      </c>
      <c r="E82" t="s">
        <v>826</v>
      </c>
      <c r="F82" t="s">
        <v>23</v>
      </c>
      <c r="G82" t="s">
        <v>66</v>
      </c>
      <c r="H82">
        <v>48076.800000000003</v>
      </c>
      <c r="I82" t="s">
        <v>25</v>
      </c>
      <c r="J82">
        <v>48076.800000000003</v>
      </c>
      <c r="K82" t="s">
        <v>25</v>
      </c>
      <c r="L82" t="s">
        <v>31</v>
      </c>
      <c r="M82" s="20">
        <v>46173</v>
      </c>
      <c r="N82" s="20">
        <v>46107</v>
      </c>
      <c r="O82" t="s">
        <v>27</v>
      </c>
      <c r="P82" t="s">
        <v>58</v>
      </c>
      <c r="Q82" t="s">
        <v>451</v>
      </c>
      <c r="R82" t="s">
        <v>29</v>
      </c>
      <c r="S82" t="s">
        <v>1012</v>
      </c>
      <c r="T82" t="str">
        <f>IF(OR(F82="Project - Competitive",F82="Project - Not Competitive"),"New Business","Upsell")</f>
        <v>Upsell</v>
      </c>
      <c r="U82" t="str">
        <f>TEXT(M82,"mm/aaaa")</f>
        <v>05/2026</v>
      </c>
      <c r="V82" t="str">
        <f t="shared" si="2"/>
        <v/>
      </c>
      <c r="W82" s="26">
        <f t="shared" ca="1" si="3"/>
        <v>31</v>
      </c>
    </row>
    <row r="83" spans="1:23">
      <c r="A83" t="s">
        <v>542</v>
      </c>
      <c r="B83" t="s">
        <v>108</v>
      </c>
      <c r="C83" t="s">
        <v>109</v>
      </c>
      <c r="D83" t="s">
        <v>110</v>
      </c>
      <c r="E83" t="s">
        <v>543</v>
      </c>
      <c r="F83" t="s">
        <v>23</v>
      </c>
      <c r="G83" t="s">
        <v>330</v>
      </c>
      <c r="H83">
        <v>845252.85</v>
      </c>
      <c r="I83" t="s">
        <v>25</v>
      </c>
      <c r="J83">
        <v>120707.71</v>
      </c>
      <c r="K83" t="s">
        <v>25</v>
      </c>
      <c r="L83" t="s">
        <v>31</v>
      </c>
      <c r="M83" s="20">
        <v>46203</v>
      </c>
      <c r="N83" s="20">
        <v>46175</v>
      </c>
      <c r="O83" t="s">
        <v>27</v>
      </c>
      <c r="P83" t="s">
        <v>1018</v>
      </c>
      <c r="Q83" t="s">
        <v>105</v>
      </c>
      <c r="R83" t="s">
        <v>29</v>
      </c>
      <c r="S83" t="s">
        <v>1012</v>
      </c>
      <c r="T83" t="str">
        <f>IF(OR(F83="Project - Competitive",F83="Project - Not Competitive"),"New Business","Upsell")</f>
        <v>Upsell</v>
      </c>
      <c r="U83" t="str">
        <f>TEXT(M83,"mm/aaaa")</f>
        <v>06/2026</v>
      </c>
      <c r="V83" t="str">
        <f t="shared" si="2"/>
        <v/>
      </c>
      <c r="W83" s="26">
        <f t="shared" ca="1" si="3"/>
        <v>0</v>
      </c>
    </row>
    <row r="84" spans="1:23" ht="14.4" customHeight="1">
      <c r="A84" t="s">
        <v>470</v>
      </c>
      <c r="B84" t="s">
        <v>282</v>
      </c>
      <c r="C84" t="s">
        <v>283</v>
      </c>
      <c r="D84" t="s">
        <v>102</v>
      </c>
      <c r="E84" t="s">
        <v>471</v>
      </c>
      <c r="F84" t="s">
        <v>23</v>
      </c>
      <c r="G84" t="s">
        <v>40</v>
      </c>
      <c r="H84">
        <v>17899</v>
      </c>
      <c r="I84" t="s">
        <v>25</v>
      </c>
      <c r="J84">
        <v>17899</v>
      </c>
      <c r="K84" t="s">
        <v>25</v>
      </c>
      <c r="L84" t="s">
        <v>31</v>
      </c>
      <c r="M84" s="20">
        <v>46026</v>
      </c>
      <c r="N84" s="20">
        <v>46043</v>
      </c>
      <c r="O84" t="s">
        <v>27</v>
      </c>
      <c r="P84" t="s">
        <v>1018</v>
      </c>
      <c r="Q84" t="s">
        <v>472</v>
      </c>
      <c r="R84" t="s">
        <v>73</v>
      </c>
      <c r="S84" t="s">
        <v>1012</v>
      </c>
      <c r="T84" t="str">
        <f>IF(OR(F84="Project - Competitive",F84="Project - Not Competitive"),"New Business","Upsell")</f>
        <v>Upsell</v>
      </c>
      <c r="U84" t="str">
        <f>TEXT(M84,"mm/aaaa")</f>
        <v>01/2026</v>
      </c>
      <c r="V84" t="str">
        <f t="shared" si="2"/>
        <v/>
      </c>
      <c r="W84" s="26" t="str">
        <f t="shared" ca="1" si="3"/>
        <v/>
      </c>
    </row>
    <row r="85" spans="1:23">
      <c r="A85" t="s">
        <v>365</v>
      </c>
      <c r="B85" t="s">
        <v>366</v>
      </c>
      <c r="C85" t="s">
        <v>367</v>
      </c>
      <c r="D85" t="s">
        <v>132</v>
      </c>
      <c r="E85" t="s">
        <v>368</v>
      </c>
      <c r="F85" t="s">
        <v>39</v>
      </c>
      <c r="G85" t="s">
        <v>40</v>
      </c>
      <c r="H85">
        <v>300000</v>
      </c>
      <c r="I85" t="s">
        <v>25</v>
      </c>
      <c r="J85">
        <v>300000</v>
      </c>
      <c r="K85" t="s">
        <v>25</v>
      </c>
      <c r="L85" t="s">
        <v>31</v>
      </c>
      <c r="M85" s="20">
        <v>46357</v>
      </c>
      <c r="N85" s="20">
        <v>45881</v>
      </c>
      <c r="O85" t="s">
        <v>1007</v>
      </c>
      <c r="P85" t="s">
        <v>58</v>
      </c>
      <c r="Q85" t="s">
        <v>59</v>
      </c>
      <c r="R85" t="s">
        <v>29</v>
      </c>
      <c r="S85" t="s">
        <v>1015</v>
      </c>
      <c r="T85" t="str">
        <f>IF(OR(F85="Project - Competitive",F85="Project - Not Competitive"),"New Business","Upsell")</f>
        <v>New Business</v>
      </c>
      <c r="U85" t="str">
        <f>TEXT(M85,"mm/aaaa")</f>
        <v>12/2026</v>
      </c>
      <c r="V85">
        <f t="shared" si="2"/>
        <v>476</v>
      </c>
      <c r="W85" s="26" t="str">
        <f t="shared" ca="1" si="3"/>
        <v/>
      </c>
    </row>
    <row r="86" spans="1:23">
      <c r="A86" t="s">
        <v>666</v>
      </c>
      <c r="B86" t="s">
        <v>667</v>
      </c>
      <c r="C86" t="s">
        <v>668</v>
      </c>
      <c r="D86" t="s">
        <v>37</v>
      </c>
      <c r="E86" t="s">
        <v>672</v>
      </c>
      <c r="F86" t="s">
        <v>39</v>
      </c>
      <c r="G86" t="s">
        <v>119</v>
      </c>
      <c r="H86">
        <v>2133050.04</v>
      </c>
      <c r="I86" t="s">
        <v>25</v>
      </c>
      <c r="J86">
        <v>768956.4</v>
      </c>
      <c r="K86" t="s">
        <v>25</v>
      </c>
      <c r="L86" t="s">
        <v>31</v>
      </c>
      <c r="M86" s="20">
        <v>46171</v>
      </c>
      <c r="N86" s="20">
        <v>46084</v>
      </c>
      <c r="O86" t="s">
        <v>135</v>
      </c>
      <c r="P86" t="s">
        <v>58</v>
      </c>
      <c r="Q86" t="s">
        <v>446</v>
      </c>
      <c r="R86" t="s">
        <v>29</v>
      </c>
      <c r="S86" t="s">
        <v>1014</v>
      </c>
      <c r="T86" t="str">
        <f>IF(OR(F86="Project - Competitive",F86="Project - Not Competitive"),"New Business","Upsell")</f>
        <v>New Business</v>
      </c>
      <c r="U86" t="str">
        <f>TEXT(M86,"mm/aaaa")</f>
        <v>05/2026</v>
      </c>
      <c r="V86" t="str">
        <f t="shared" si="2"/>
        <v/>
      </c>
      <c r="W86" s="26">
        <f t="shared" ca="1" si="3"/>
        <v>54</v>
      </c>
    </row>
    <row r="87" spans="1:23">
      <c r="A87" t="s">
        <v>270</v>
      </c>
      <c r="B87" t="s">
        <v>68</v>
      </c>
      <c r="C87" t="s">
        <v>69</v>
      </c>
      <c r="D87" t="s">
        <v>70</v>
      </c>
      <c r="E87" t="s">
        <v>272</v>
      </c>
      <c r="F87" t="s">
        <v>82</v>
      </c>
      <c r="G87" t="s">
        <v>40</v>
      </c>
      <c r="H87">
        <v>3785206.2099999995</v>
      </c>
      <c r="I87" t="s">
        <v>25</v>
      </c>
      <c r="J87">
        <v>598144.80000000005</v>
      </c>
      <c r="K87" t="s">
        <v>25</v>
      </c>
      <c r="L87" t="s">
        <v>274</v>
      </c>
      <c r="M87" s="20">
        <v>46066</v>
      </c>
      <c r="N87" s="20">
        <v>45975</v>
      </c>
      <c r="O87" t="s">
        <v>27</v>
      </c>
      <c r="P87" t="s">
        <v>1018</v>
      </c>
      <c r="Q87" t="s">
        <v>271</v>
      </c>
      <c r="R87" t="s">
        <v>29</v>
      </c>
      <c r="S87" t="s">
        <v>1012</v>
      </c>
      <c r="T87" t="str">
        <f>IF(OR(F87="Project - Competitive",F87="Project - Not Competitive"),"New Business","Upsell")</f>
        <v>Upsell</v>
      </c>
      <c r="U87" t="str">
        <f>TEXT(M87,"mm/aaaa")</f>
        <v>02/2026</v>
      </c>
      <c r="V87">
        <f t="shared" si="2"/>
        <v>91</v>
      </c>
      <c r="W87" s="26" t="str">
        <f t="shared" ca="1" si="3"/>
        <v/>
      </c>
    </row>
    <row r="88" spans="1:23">
      <c r="A88" t="s">
        <v>915</v>
      </c>
      <c r="B88" t="s">
        <v>68</v>
      </c>
      <c r="C88" t="s">
        <v>69</v>
      </c>
      <c r="D88" t="s">
        <v>70</v>
      </c>
      <c r="E88" t="s">
        <v>424</v>
      </c>
      <c r="F88" t="s">
        <v>23</v>
      </c>
      <c r="G88" t="s">
        <v>119</v>
      </c>
      <c r="H88">
        <v>414939.84</v>
      </c>
      <c r="I88" t="s">
        <v>25</v>
      </c>
      <c r="J88">
        <v>414939.84</v>
      </c>
      <c r="K88" t="s">
        <v>25</v>
      </c>
      <c r="L88" t="s">
        <v>274</v>
      </c>
      <c r="M88" s="20">
        <v>46234</v>
      </c>
      <c r="N88" s="20">
        <v>46269</v>
      </c>
      <c r="O88" t="s">
        <v>314</v>
      </c>
      <c r="P88" t="s">
        <v>1018</v>
      </c>
      <c r="Q88" t="s">
        <v>73</v>
      </c>
      <c r="R88" t="s">
        <v>29</v>
      </c>
      <c r="S88" t="s">
        <v>1016</v>
      </c>
      <c r="T88" t="str">
        <f>IF(OR(F88="Project - Competitive",F88="Project - Not Competitive"),"New Business","Upsell")</f>
        <v>Upsell</v>
      </c>
      <c r="U88" t="str">
        <f>TEXT(M88,"mm/aaaa")</f>
        <v>07/2026</v>
      </c>
      <c r="V88" t="str">
        <f t="shared" si="2"/>
        <v/>
      </c>
      <c r="W88" s="26">
        <f t="shared" ca="1" si="3"/>
        <v>0</v>
      </c>
    </row>
    <row r="89" spans="1:23">
      <c r="A89" t="s">
        <v>891</v>
      </c>
      <c r="B89" t="s">
        <v>892</v>
      </c>
      <c r="C89" t="s">
        <v>893</v>
      </c>
      <c r="D89" t="s">
        <v>175</v>
      </c>
      <c r="E89" t="s">
        <v>894</v>
      </c>
      <c r="F89" t="s">
        <v>23</v>
      </c>
      <c r="G89" t="s">
        <v>119</v>
      </c>
      <c r="H89">
        <v>477489.48</v>
      </c>
      <c r="I89" t="s">
        <v>25</v>
      </c>
      <c r="J89">
        <v>477489.48</v>
      </c>
      <c r="K89" t="s">
        <v>25</v>
      </c>
      <c r="L89" t="s">
        <v>155</v>
      </c>
      <c r="M89" s="20">
        <v>46203</v>
      </c>
      <c r="N89" s="20">
        <v>46057</v>
      </c>
      <c r="O89" t="s">
        <v>314</v>
      </c>
      <c r="P89" t="s">
        <v>1018</v>
      </c>
      <c r="Q89" t="s">
        <v>165</v>
      </c>
      <c r="R89" t="s">
        <v>29</v>
      </c>
      <c r="S89" t="s">
        <v>1016</v>
      </c>
      <c r="T89" t="str">
        <f>IF(OR(F89="Project - Competitive",F89="Project - Not Competitive"),"New Business","Upsell")</f>
        <v>Upsell</v>
      </c>
      <c r="U89" t="str">
        <f>TEXT(M89,"mm/aaaa")</f>
        <v>06/2026</v>
      </c>
      <c r="V89" t="str">
        <f t="shared" si="2"/>
        <v/>
      </c>
      <c r="W89" s="26">
        <f t="shared" ca="1" si="3"/>
        <v>81</v>
      </c>
    </row>
    <row r="90" spans="1:23">
      <c r="A90" t="s">
        <v>230</v>
      </c>
      <c r="B90" t="s">
        <v>231</v>
      </c>
      <c r="C90" t="s">
        <v>232</v>
      </c>
      <c r="D90" t="s">
        <v>102</v>
      </c>
      <c r="E90" t="s">
        <v>233</v>
      </c>
      <c r="F90" t="s">
        <v>82</v>
      </c>
      <c r="G90" t="s">
        <v>40</v>
      </c>
      <c r="H90">
        <v>1038355.7999999999</v>
      </c>
      <c r="I90" t="s">
        <v>25</v>
      </c>
      <c r="J90">
        <v>196152.12</v>
      </c>
      <c r="K90" t="s">
        <v>25</v>
      </c>
      <c r="L90" t="s">
        <v>155</v>
      </c>
      <c r="M90" s="20">
        <v>46036</v>
      </c>
      <c r="N90" s="20">
        <v>45819</v>
      </c>
      <c r="O90" t="s">
        <v>27</v>
      </c>
      <c r="P90" t="s">
        <v>1018</v>
      </c>
      <c r="Q90" t="s">
        <v>59</v>
      </c>
      <c r="R90" t="s">
        <v>29</v>
      </c>
      <c r="S90" t="s">
        <v>1012</v>
      </c>
      <c r="T90" t="str">
        <f>IF(OR(F90="Project - Competitive",F90="Project - Not Competitive"),"New Business","Upsell")</f>
        <v>Upsell</v>
      </c>
      <c r="U90" t="str">
        <f>TEXT(M90,"mm/aaaa")</f>
        <v>01/2026</v>
      </c>
      <c r="V90">
        <f t="shared" si="2"/>
        <v>217</v>
      </c>
      <c r="W90" s="26" t="str">
        <f t="shared" ca="1" si="3"/>
        <v/>
      </c>
    </row>
    <row r="91" spans="1:23">
      <c r="A91" t="s">
        <v>359</v>
      </c>
      <c r="B91" t="s">
        <v>231</v>
      </c>
      <c r="C91" t="s">
        <v>232</v>
      </c>
      <c r="D91" t="s">
        <v>102</v>
      </c>
      <c r="E91" t="s">
        <v>233</v>
      </c>
      <c r="F91" t="s">
        <v>23</v>
      </c>
      <c r="G91" t="s">
        <v>40</v>
      </c>
      <c r="H91">
        <v>358921.88</v>
      </c>
      <c r="I91" t="s">
        <v>25</v>
      </c>
      <c r="J91">
        <v>197384.28</v>
      </c>
      <c r="K91" t="s">
        <v>25</v>
      </c>
      <c r="L91" t="s">
        <v>155</v>
      </c>
      <c r="M91" s="20">
        <v>46036</v>
      </c>
      <c r="N91" s="20">
        <v>45759</v>
      </c>
      <c r="O91" t="s">
        <v>1006</v>
      </c>
      <c r="P91" t="s">
        <v>1018</v>
      </c>
      <c r="Q91" t="s">
        <v>59</v>
      </c>
      <c r="R91" t="s">
        <v>29</v>
      </c>
      <c r="S91" t="s">
        <v>1012</v>
      </c>
      <c r="T91" t="str">
        <f>IF(OR(F91="Project - Competitive",F91="Project - Not Competitive"),"New Business","Upsell")</f>
        <v>Upsell</v>
      </c>
      <c r="U91" t="str">
        <f>TEXT(M91,"mm/aaaa")</f>
        <v>01/2026</v>
      </c>
      <c r="V91">
        <f t="shared" si="2"/>
        <v>277</v>
      </c>
      <c r="W91" s="26" t="str">
        <f t="shared" ca="1" si="3"/>
        <v/>
      </c>
    </row>
    <row r="92" spans="1:23">
      <c r="A92" t="s">
        <v>410</v>
      </c>
      <c r="B92" t="s">
        <v>231</v>
      </c>
      <c r="C92" t="s">
        <v>232</v>
      </c>
      <c r="D92" t="s">
        <v>102</v>
      </c>
      <c r="E92" t="s">
        <v>235</v>
      </c>
      <c r="F92" t="s">
        <v>23</v>
      </c>
      <c r="G92" t="s">
        <v>40</v>
      </c>
      <c r="H92">
        <v>45500</v>
      </c>
      <c r="I92" t="s">
        <v>25</v>
      </c>
      <c r="J92">
        <v>27900</v>
      </c>
      <c r="K92" t="s">
        <v>25</v>
      </c>
      <c r="L92" t="s">
        <v>155</v>
      </c>
      <c r="M92" s="20">
        <v>46036</v>
      </c>
      <c r="N92" s="20">
        <v>46014</v>
      </c>
      <c r="O92" t="s">
        <v>27</v>
      </c>
      <c r="P92" t="s">
        <v>1018</v>
      </c>
      <c r="Q92" t="s">
        <v>59</v>
      </c>
      <c r="R92" t="s">
        <v>60</v>
      </c>
      <c r="S92" t="s">
        <v>1012</v>
      </c>
      <c r="T92" t="str">
        <f>IF(OR(F92="Project - Competitive",F92="Project - Not Competitive"),"New Business","Upsell")</f>
        <v>Upsell</v>
      </c>
      <c r="U92" t="str">
        <f>TEXT(M92,"mm/aaaa")</f>
        <v>01/2026</v>
      </c>
      <c r="V92">
        <f t="shared" si="2"/>
        <v>22</v>
      </c>
      <c r="W92" s="26" t="str">
        <f t="shared" ca="1" si="3"/>
        <v/>
      </c>
    </row>
    <row r="93" spans="1:23">
      <c r="A93" t="s">
        <v>774</v>
      </c>
      <c r="B93" t="s">
        <v>231</v>
      </c>
      <c r="C93" t="s">
        <v>232</v>
      </c>
      <c r="D93" t="s">
        <v>102</v>
      </c>
      <c r="E93" t="s">
        <v>775</v>
      </c>
      <c r="F93" t="s">
        <v>23</v>
      </c>
      <c r="G93" t="s">
        <v>40</v>
      </c>
      <c r="H93">
        <v>45500</v>
      </c>
      <c r="I93" t="s">
        <v>25</v>
      </c>
      <c r="J93">
        <v>27900</v>
      </c>
      <c r="K93" t="s">
        <v>25</v>
      </c>
      <c r="L93" t="s">
        <v>155</v>
      </c>
      <c r="M93" s="20">
        <v>46238</v>
      </c>
      <c r="N93" s="20">
        <v>46100</v>
      </c>
      <c r="O93" t="s">
        <v>27</v>
      </c>
      <c r="P93" t="s">
        <v>1018</v>
      </c>
      <c r="Q93" t="s">
        <v>122</v>
      </c>
      <c r="R93" t="s">
        <v>60</v>
      </c>
      <c r="S93" t="s">
        <v>1012</v>
      </c>
      <c r="T93" t="str">
        <f>IF(OR(F93="Project - Competitive",F93="Project - Not Competitive"),"New Business","Upsell")</f>
        <v>Upsell</v>
      </c>
      <c r="U93" t="str">
        <f>TEXT(M93,"mm/aaaa")</f>
        <v>08/2026</v>
      </c>
      <c r="V93">
        <f t="shared" si="2"/>
        <v>138</v>
      </c>
      <c r="W93" s="26" t="str">
        <f t="shared" ca="1" si="3"/>
        <v/>
      </c>
    </row>
    <row r="94" spans="1:23">
      <c r="A94" t="s">
        <v>687</v>
      </c>
      <c r="B94" t="s">
        <v>688</v>
      </c>
      <c r="C94" t="s">
        <v>689</v>
      </c>
      <c r="D94" t="s">
        <v>328</v>
      </c>
      <c r="E94" t="s">
        <v>694</v>
      </c>
      <c r="F94" t="s">
        <v>82</v>
      </c>
      <c r="G94" t="s">
        <v>330</v>
      </c>
      <c r="H94">
        <v>809225.34</v>
      </c>
      <c r="I94" t="s">
        <v>25</v>
      </c>
      <c r="J94">
        <v>117104.22</v>
      </c>
      <c r="K94" t="s">
        <v>25</v>
      </c>
      <c r="L94" t="s">
        <v>155</v>
      </c>
      <c r="M94" s="20">
        <v>46173</v>
      </c>
      <c r="N94" s="20">
        <v>46176</v>
      </c>
      <c r="O94" t="s">
        <v>27</v>
      </c>
      <c r="P94" t="s">
        <v>1018</v>
      </c>
      <c r="Q94" t="s">
        <v>691</v>
      </c>
      <c r="R94" t="s">
        <v>122</v>
      </c>
      <c r="S94" t="s">
        <v>1012</v>
      </c>
      <c r="T94" t="str">
        <f>IF(OR(F94="Project - Competitive",F94="Project - Not Competitive"),"New Business","Upsell")</f>
        <v>Upsell</v>
      </c>
      <c r="U94" t="str">
        <f>TEXT(M94,"mm/aaaa")</f>
        <v>05/2026</v>
      </c>
      <c r="V94" t="str">
        <f t="shared" si="2"/>
        <v/>
      </c>
      <c r="W94" s="26">
        <f t="shared" ca="1" si="3"/>
        <v>0</v>
      </c>
    </row>
    <row r="95" spans="1:23" ht="14.4" customHeight="1">
      <c r="A95" t="s">
        <v>673</v>
      </c>
      <c r="B95" t="s">
        <v>445</v>
      </c>
      <c r="C95" t="s">
        <v>1065</v>
      </c>
      <c r="D95" t="s">
        <v>132</v>
      </c>
      <c r="E95" t="s">
        <v>1056</v>
      </c>
      <c r="F95" t="s">
        <v>39</v>
      </c>
      <c r="G95" t="s">
        <v>119</v>
      </c>
      <c r="H95">
        <v>265000</v>
      </c>
      <c r="I95" t="s">
        <v>25</v>
      </c>
      <c r="J95">
        <v>204000</v>
      </c>
      <c r="K95" t="s">
        <v>25</v>
      </c>
      <c r="L95" t="s">
        <v>155</v>
      </c>
      <c r="M95" s="20">
        <v>46117</v>
      </c>
      <c r="N95" s="20">
        <v>46084</v>
      </c>
      <c r="O95" t="s">
        <v>290</v>
      </c>
      <c r="P95" t="s">
        <v>1018</v>
      </c>
      <c r="Q95" t="s">
        <v>451</v>
      </c>
      <c r="R95" t="s">
        <v>29</v>
      </c>
      <c r="S95" t="s">
        <v>1015</v>
      </c>
      <c r="T95" t="str">
        <f>IF(OR(F95="Project - Competitive",F95="Project - Not Competitive"),"New Business","Upsell")</f>
        <v>New Business</v>
      </c>
      <c r="U95" t="str">
        <f>TEXT(M95,"mm/aaaa")</f>
        <v>04/2026</v>
      </c>
      <c r="V95" t="str">
        <f t="shared" si="2"/>
        <v/>
      </c>
      <c r="W95" s="26">
        <f t="shared" ca="1" si="3"/>
        <v>54</v>
      </c>
    </row>
    <row r="96" spans="1:23" ht="14.4" customHeight="1">
      <c r="A96" t="s">
        <v>151</v>
      </c>
      <c r="B96" t="s">
        <v>152</v>
      </c>
      <c r="C96" t="s">
        <v>153</v>
      </c>
      <c r="D96" t="s">
        <v>95</v>
      </c>
      <c r="E96" t="s">
        <v>154</v>
      </c>
      <c r="F96" t="s">
        <v>23</v>
      </c>
      <c r="G96" t="s">
        <v>66</v>
      </c>
      <c r="H96">
        <v>366989.64</v>
      </c>
      <c r="I96" t="s">
        <v>25</v>
      </c>
      <c r="J96">
        <v>366989.64</v>
      </c>
      <c r="K96" t="s">
        <v>25</v>
      </c>
      <c r="L96" t="s">
        <v>155</v>
      </c>
      <c r="M96" s="20">
        <v>46234</v>
      </c>
      <c r="N96" s="20">
        <v>45698</v>
      </c>
      <c r="O96" t="s">
        <v>27</v>
      </c>
      <c r="P96" t="s">
        <v>1018</v>
      </c>
      <c r="Q96" t="s">
        <v>156</v>
      </c>
      <c r="R96" t="s">
        <v>29</v>
      </c>
      <c r="S96" t="s">
        <v>1012</v>
      </c>
      <c r="T96" t="str">
        <f>IF(OR(F96="Project - Competitive",F96="Project - Not Competitive"),"New Business","Upsell")</f>
        <v>Upsell</v>
      </c>
      <c r="U96" t="str">
        <f>TEXT(M96,"mm/aaaa")</f>
        <v>07/2026</v>
      </c>
      <c r="V96" t="str">
        <f t="shared" si="2"/>
        <v/>
      </c>
      <c r="W96" s="26">
        <f t="shared" ca="1" si="3"/>
        <v>440</v>
      </c>
    </row>
    <row r="97" spans="1:23" ht="14.4" customHeight="1">
      <c r="A97" t="s">
        <v>614</v>
      </c>
      <c r="B97" t="s">
        <v>152</v>
      </c>
      <c r="C97" t="s">
        <v>153</v>
      </c>
      <c r="D97" t="s">
        <v>95</v>
      </c>
      <c r="E97" t="s">
        <v>617</v>
      </c>
      <c r="F97" t="s">
        <v>82</v>
      </c>
      <c r="G97" t="s">
        <v>66</v>
      </c>
      <c r="H97">
        <v>1926466.8</v>
      </c>
      <c r="I97" t="s">
        <v>25</v>
      </c>
      <c r="J97">
        <v>1332880.08</v>
      </c>
      <c r="K97" t="s">
        <v>25</v>
      </c>
      <c r="L97" t="s">
        <v>155</v>
      </c>
      <c r="M97" s="20">
        <v>46173</v>
      </c>
      <c r="N97" s="20">
        <v>46073</v>
      </c>
      <c r="O97" t="s">
        <v>27</v>
      </c>
      <c r="P97" t="s">
        <v>1018</v>
      </c>
      <c r="Q97" t="s">
        <v>156</v>
      </c>
      <c r="R97" t="s">
        <v>29</v>
      </c>
      <c r="S97" t="s">
        <v>1012</v>
      </c>
      <c r="T97" t="str">
        <f>IF(OR(F97="Project - Competitive",F97="Project - Not Competitive"),"New Business","Upsell")</f>
        <v>Upsell</v>
      </c>
      <c r="U97" t="str">
        <f>TEXT(M97,"mm/aaaa")</f>
        <v>05/2026</v>
      </c>
      <c r="V97" t="str">
        <f t="shared" si="2"/>
        <v/>
      </c>
      <c r="W97" s="26">
        <f t="shared" ca="1" si="3"/>
        <v>65</v>
      </c>
    </row>
    <row r="98" spans="1:23" ht="14.4" customHeight="1">
      <c r="A98" t="s">
        <v>516</v>
      </c>
      <c r="B98" t="s">
        <v>517</v>
      </c>
      <c r="C98" t="s">
        <v>518</v>
      </c>
      <c r="D98" t="s">
        <v>102</v>
      </c>
      <c r="E98" t="s">
        <v>521</v>
      </c>
      <c r="F98" t="s">
        <v>23</v>
      </c>
      <c r="G98" t="s">
        <v>119</v>
      </c>
      <c r="H98">
        <v>795900.24</v>
      </c>
      <c r="I98" t="s">
        <v>25</v>
      </c>
      <c r="J98">
        <v>165852.79999999999</v>
      </c>
      <c r="K98" t="s">
        <v>25</v>
      </c>
      <c r="L98" t="s">
        <v>155</v>
      </c>
      <c r="M98" s="20">
        <v>46173</v>
      </c>
      <c r="N98" s="20">
        <v>46114</v>
      </c>
      <c r="O98" t="s">
        <v>27</v>
      </c>
      <c r="P98" t="s">
        <v>1018</v>
      </c>
      <c r="Q98" t="s">
        <v>252</v>
      </c>
      <c r="R98" t="s">
        <v>185</v>
      </c>
      <c r="S98" t="s">
        <v>1012</v>
      </c>
      <c r="T98" t="str">
        <f>IF(OR(F98="Project - Competitive",F98="Project - Not Competitive"),"New Business","Upsell")</f>
        <v>Upsell</v>
      </c>
      <c r="U98" t="str">
        <f>TEXT(M98,"mm/aaaa")</f>
        <v>05/2026</v>
      </c>
      <c r="V98" t="str">
        <f t="shared" si="2"/>
        <v/>
      </c>
      <c r="W98" s="26">
        <f t="shared" ca="1" si="3"/>
        <v>24</v>
      </c>
    </row>
    <row r="99" spans="1:23" ht="14.4" customHeight="1">
      <c r="A99" t="s">
        <v>805</v>
      </c>
      <c r="B99" t="s">
        <v>517</v>
      </c>
      <c r="C99" t="s">
        <v>518</v>
      </c>
      <c r="D99" t="s">
        <v>102</v>
      </c>
      <c r="E99" t="s">
        <v>806</v>
      </c>
      <c r="F99" t="s">
        <v>23</v>
      </c>
      <c r="G99" t="s">
        <v>66</v>
      </c>
      <c r="H99">
        <v>308940</v>
      </c>
      <c r="I99" t="s">
        <v>25</v>
      </c>
      <c r="J99">
        <v>308940</v>
      </c>
      <c r="K99" t="s">
        <v>25</v>
      </c>
      <c r="L99" t="s">
        <v>155</v>
      </c>
      <c r="M99" s="20">
        <v>46142</v>
      </c>
      <c r="N99" s="20">
        <v>46104</v>
      </c>
      <c r="O99" t="s">
        <v>27</v>
      </c>
      <c r="P99" t="s">
        <v>1018</v>
      </c>
      <c r="Q99" t="s">
        <v>472</v>
      </c>
      <c r="R99" t="s">
        <v>29</v>
      </c>
      <c r="S99" t="s">
        <v>1012</v>
      </c>
      <c r="T99" t="str">
        <f>IF(OR(F99="Project - Competitive",F99="Project - Not Competitive"),"New Business","Upsell")</f>
        <v>Upsell</v>
      </c>
      <c r="U99" t="str">
        <f>TEXT(M99,"mm/aaaa")</f>
        <v>04/2026</v>
      </c>
      <c r="V99" t="str">
        <f t="shared" si="2"/>
        <v/>
      </c>
      <c r="W99" s="26">
        <f t="shared" ca="1" si="3"/>
        <v>34</v>
      </c>
    </row>
    <row r="100" spans="1:23" ht="14.4" customHeight="1">
      <c r="A100" t="s">
        <v>340</v>
      </c>
      <c r="B100" t="s">
        <v>341</v>
      </c>
      <c r="C100" t="s">
        <v>342</v>
      </c>
      <c r="D100" t="s">
        <v>147</v>
      </c>
      <c r="E100" t="s">
        <v>345</v>
      </c>
      <c r="F100" t="s">
        <v>39</v>
      </c>
      <c r="G100" t="s">
        <v>66</v>
      </c>
      <c r="H100">
        <v>2627267.83</v>
      </c>
      <c r="I100" t="s">
        <v>25</v>
      </c>
      <c r="J100">
        <v>239159.76</v>
      </c>
      <c r="K100" t="s">
        <v>25</v>
      </c>
      <c r="L100" t="s">
        <v>155</v>
      </c>
      <c r="M100" s="20">
        <v>46331</v>
      </c>
      <c r="N100" s="20">
        <v>45669</v>
      </c>
      <c r="O100" t="s">
        <v>290</v>
      </c>
      <c r="P100" t="s">
        <v>58</v>
      </c>
      <c r="Q100" t="s">
        <v>344</v>
      </c>
      <c r="R100" t="s">
        <v>29</v>
      </c>
      <c r="S100" t="s">
        <v>1015</v>
      </c>
      <c r="T100" t="str">
        <f>IF(OR(F100="Project - Competitive",F100="Project - Not Competitive"),"New Business","Upsell")</f>
        <v>New Business</v>
      </c>
      <c r="U100" t="str">
        <f>TEXT(M100,"mm/aaaa")</f>
        <v>11/2026</v>
      </c>
      <c r="V100" t="str">
        <f t="shared" si="2"/>
        <v/>
      </c>
      <c r="W100" s="26">
        <f t="shared" ca="1" si="3"/>
        <v>469</v>
      </c>
    </row>
    <row r="101" spans="1:23">
      <c r="A101" t="s">
        <v>337</v>
      </c>
      <c r="B101" t="s">
        <v>19</v>
      </c>
      <c r="C101" t="s">
        <v>20</v>
      </c>
      <c r="D101" t="s">
        <v>21</v>
      </c>
      <c r="E101" t="s">
        <v>158</v>
      </c>
      <c r="F101" t="s">
        <v>23</v>
      </c>
      <c r="G101" t="s">
        <v>66</v>
      </c>
      <c r="H101">
        <v>3015949.3200000003</v>
      </c>
      <c r="I101" t="s">
        <v>25</v>
      </c>
      <c r="J101">
        <v>1130106.3600000001</v>
      </c>
      <c r="K101" t="s">
        <v>25</v>
      </c>
      <c r="L101" t="s">
        <v>155</v>
      </c>
      <c r="M101" s="20">
        <v>46234</v>
      </c>
      <c r="N101" s="20">
        <v>45669</v>
      </c>
      <c r="O101" t="s">
        <v>27</v>
      </c>
      <c r="P101" t="s">
        <v>1018</v>
      </c>
      <c r="Q101" t="s">
        <v>225</v>
      </c>
      <c r="R101" t="s">
        <v>29</v>
      </c>
      <c r="S101" t="s">
        <v>1012</v>
      </c>
      <c r="T101" t="str">
        <f>IF(OR(F101="Project - Competitive",F101="Project - Not Competitive"),"New Business","Upsell")</f>
        <v>Upsell</v>
      </c>
      <c r="U101" t="str">
        <f>TEXT(M101,"mm/aaaa")</f>
        <v>07/2026</v>
      </c>
      <c r="V101" t="str">
        <f t="shared" si="2"/>
        <v/>
      </c>
      <c r="W101" s="26">
        <f t="shared" ca="1" si="3"/>
        <v>469</v>
      </c>
    </row>
    <row r="102" spans="1:23">
      <c r="A102" t="s">
        <v>459</v>
      </c>
      <c r="B102" t="s">
        <v>19</v>
      </c>
      <c r="C102" t="s">
        <v>20</v>
      </c>
      <c r="D102" t="s">
        <v>21</v>
      </c>
      <c r="E102" t="s">
        <v>22</v>
      </c>
      <c r="F102" t="s">
        <v>23</v>
      </c>
      <c r="G102" t="s">
        <v>24</v>
      </c>
      <c r="H102">
        <v>500000</v>
      </c>
      <c r="I102" t="s">
        <v>25</v>
      </c>
      <c r="J102">
        <v>500000</v>
      </c>
      <c r="K102" t="s">
        <v>25</v>
      </c>
      <c r="L102" t="s">
        <v>155</v>
      </c>
      <c r="M102" s="20">
        <v>46173</v>
      </c>
      <c r="N102" s="20">
        <v>46041</v>
      </c>
      <c r="O102" t="s">
        <v>27</v>
      </c>
      <c r="P102" t="s">
        <v>1018</v>
      </c>
      <c r="Q102" t="s">
        <v>461</v>
      </c>
      <c r="R102" t="s">
        <v>122</v>
      </c>
      <c r="S102" t="s">
        <v>1012</v>
      </c>
      <c r="T102" t="str">
        <f>IF(OR(F102="Project - Competitive",F102="Project - Not Competitive"),"New Business","Upsell")</f>
        <v>Upsell</v>
      </c>
      <c r="U102" t="str">
        <f>TEXT(M102,"mm/aaaa")</f>
        <v>05/2026</v>
      </c>
      <c r="V102" t="str">
        <f t="shared" si="2"/>
        <v/>
      </c>
      <c r="W102" s="26">
        <f t="shared" ca="1" si="3"/>
        <v>97</v>
      </c>
    </row>
    <row r="103" spans="1:23">
      <c r="A103" t="s">
        <v>870</v>
      </c>
      <c r="B103" t="s">
        <v>100</v>
      </c>
      <c r="C103" t="s">
        <v>101</v>
      </c>
      <c r="D103" t="s">
        <v>102</v>
      </c>
      <c r="E103" t="s">
        <v>871</v>
      </c>
      <c r="F103" t="s">
        <v>23</v>
      </c>
      <c r="G103" t="s">
        <v>40</v>
      </c>
      <c r="H103">
        <v>8023.37</v>
      </c>
      <c r="I103" t="s">
        <v>25</v>
      </c>
      <c r="J103">
        <v>8023.37</v>
      </c>
      <c r="K103" t="s">
        <v>25</v>
      </c>
      <c r="L103" t="s">
        <v>155</v>
      </c>
      <c r="M103" s="20">
        <v>46125</v>
      </c>
      <c r="N103" s="20">
        <v>46026</v>
      </c>
      <c r="O103" t="s">
        <v>872</v>
      </c>
      <c r="P103" t="s">
        <v>58</v>
      </c>
      <c r="Q103" t="s">
        <v>73</v>
      </c>
      <c r="R103" t="s">
        <v>73</v>
      </c>
      <c r="S103" t="s">
        <v>1012</v>
      </c>
      <c r="T103" t="str">
        <f>IF(OR(F103="Project - Competitive",F103="Project - Not Competitive"),"New Business","Upsell")</f>
        <v>Upsell</v>
      </c>
      <c r="U103" t="str">
        <f>TEXT(M103,"mm/aaaa")</f>
        <v>04/2026</v>
      </c>
      <c r="V103">
        <f t="shared" si="2"/>
        <v>99</v>
      </c>
      <c r="W103" s="26" t="str">
        <f t="shared" ca="1" si="3"/>
        <v/>
      </c>
    </row>
    <row r="104" spans="1:23">
      <c r="A104" t="s">
        <v>702</v>
      </c>
      <c r="B104" t="s">
        <v>703</v>
      </c>
      <c r="C104" t="s">
        <v>704</v>
      </c>
      <c r="D104" t="s">
        <v>117</v>
      </c>
      <c r="E104" t="s">
        <v>707</v>
      </c>
      <c r="F104" t="s">
        <v>82</v>
      </c>
      <c r="G104" t="s">
        <v>24</v>
      </c>
      <c r="H104">
        <v>2510326.92</v>
      </c>
      <c r="I104" t="s">
        <v>25</v>
      </c>
      <c r="J104">
        <v>1483449.96</v>
      </c>
      <c r="K104" t="s">
        <v>25</v>
      </c>
      <c r="L104" t="s">
        <v>155</v>
      </c>
      <c r="M104" s="20">
        <v>46142</v>
      </c>
      <c r="N104" s="20">
        <v>46176</v>
      </c>
      <c r="O104" t="s">
        <v>27</v>
      </c>
      <c r="P104" t="s">
        <v>1018</v>
      </c>
      <c r="Q104" t="s">
        <v>701</v>
      </c>
      <c r="R104" t="s">
        <v>29</v>
      </c>
      <c r="S104" t="s">
        <v>1012</v>
      </c>
      <c r="T104" t="str">
        <f>IF(OR(F104="Project - Competitive",F104="Project - Not Competitive"),"New Business","Upsell")</f>
        <v>Upsell</v>
      </c>
      <c r="U104" t="str">
        <f>TEXT(M104,"mm/aaaa")</f>
        <v>04/2026</v>
      </c>
      <c r="V104" t="str">
        <f t="shared" si="2"/>
        <v/>
      </c>
      <c r="W104" s="26">
        <f t="shared" ca="1" si="3"/>
        <v>0</v>
      </c>
    </row>
    <row r="105" spans="1:23" ht="14.4" customHeight="1">
      <c r="A105" t="s">
        <v>681</v>
      </c>
      <c r="B105" t="s">
        <v>115</v>
      </c>
      <c r="C105" t="s">
        <v>116</v>
      </c>
      <c r="D105" t="s">
        <v>117</v>
      </c>
      <c r="E105" t="s">
        <v>680</v>
      </c>
      <c r="F105" t="s">
        <v>23</v>
      </c>
      <c r="G105" t="s">
        <v>40</v>
      </c>
      <c r="H105">
        <v>274209.96999999997</v>
      </c>
      <c r="I105" t="s">
        <v>25</v>
      </c>
      <c r="J105">
        <v>26598.37</v>
      </c>
      <c r="K105" t="s">
        <v>25</v>
      </c>
      <c r="L105" t="s">
        <v>155</v>
      </c>
      <c r="M105" s="20">
        <v>46145</v>
      </c>
      <c r="N105" s="20">
        <v>46145</v>
      </c>
      <c r="O105" t="s">
        <v>27</v>
      </c>
      <c r="P105" t="s">
        <v>58</v>
      </c>
      <c r="Q105" t="s">
        <v>480</v>
      </c>
      <c r="R105" t="s">
        <v>73</v>
      </c>
      <c r="S105" t="s">
        <v>1012</v>
      </c>
      <c r="T105" t="str">
        <f>IF(OR(F105="Project - Competitive",F105="Project - Not Competitive"),"New Business","Upsell")</f>
        <v>Upsell</v>
      </c>
      <c r="U105" t="str">
        <f>TEXT(M105,"mm/aaaa")</f>
        <v>05/2026</v>
      </c>
      <c r="V105" t="str">
        <f t="shared" si="2"/>
        <v/>
      </c>
      <c r="W105" s="26" t="str">
        <f t="shared" ca="1" si="3"/>
        <v/>
      </c>
    </row>
    <row r="106" spans="1:23">
      <c r="A106" t="s">
        <v>856</v>
      </c>
      <c r="B106" t="s">
        <v>732</v>
      </c>
      <c r="C106" t="s">
        <v>733</v>
      </c>
      <c r="D106" t="s">
        <v>328</v>
      </c>
      <c r="E106" t="s">
        <v>857</v>
      </c>
      <c r="F106" t="s">
        <v>23</v>
      </c>
      <c r="G106" t="s">
        <v>24</v>
      </c>
      <c r="H106">
        <v>139766.74</v>
      </c>
      <c r="I106" t="s">
        <v>25</v>
      </c>
      <c r="J106">
        <v>64706.04</v>
      </c>
      <c r="K106" t="s">
        <v>25</v>
      </c>
      <c r="L106" t="s">
        <v>155</v>
      </c>
      <c r="M106" s="20">
        <v>46141</v>
      </c>
      <c r="N106" s="20">
        <v>46111</v>
      </c>
      <c r="O106" t="s">
        <v>149</v>
      </c>
      <c r="P106" t="s">
        <v>58</v>
      </c>
      <c r="Q106" t="s">
        <v>83</v>
      </c>
      <c r="R106" t="s">
        <v>73</v>
      </c>
      <c r="S106" t="s">
        <v>1015</v>
      </c>
      <c r="T106" t="str">
        <f>IF(OR(F106="Project - Competitive",F106="Project - Not Competitive"),"New Business","Upsell")</f>
        <v>Upsell</v>
      </c>
      <c r="U106" t="str">
        <f>TEXT(M106,"mm/aaaa")</f>
        <v>04/2026</v>
      </c>
      <c r="V106" t="str">
        <f t="shared" si="2"/>
        <v/>
      </c>
      <c r="W106" s="26">
        <f t="shared" ca="1" si="3"/>
        <v>27</v>
      </c>
    </row>
    <row r="107" spans="1:23">
      <c r="A107" t="s">
        <v>712</v>
      </c>
      <c r="B107" t="s">
        <v>713</v>
      </c>
      <c r="C107" t="s">
        <v>714</v>
      </c>
      <c r="D107" t="s">
        <v>175</v>
      </c>
      <c r="E107" t="s">
        <v>716</v>
      </c>
      <c r="F107" t="s">
        <v>82</v>
      </c>
      <c r="G107" t="s">
        <v>24</v>
      </c>
      <c r="H107">
        <v>1993383.1199999999</v>
      </c>
      <c r="I107" t="s">
        <v>25</v>
      </c>
      <c r="J107">
        <v>1271332.8</v>
      </c>
      <c r="K107" t="s">
        <v>25</v>
      </c>
      <c r="L107" t="s">
        <v>155</v>
      </c>
      <c r="M107" s="20">
        <v>46059</v>
      </c>
      <c r="N107" s="20">
        <v>46268</v>
      </c>
      <c r="O107" t="s">
        <v>27</v>
      </c>
      <c r="P107" t="s">
        <v>1018</v>
      </c>
      <c r="Q107" t="s">
        <v>446</v>
      </c>
      <c r="R107" t="s">
        <v>29</v>
      </c>
      <c r="S107" t="s">
        <v>1012</v>
      </c>
      <c r="T107" t="str">
        <f>IF(OR(F107="Project - Competitive",F107="Project - Not Competitive"),"New Business","Upsell")</f>
        <v>Upsell</v>
      </c>
      <c r="U107" t="str">
        <f>TEXT(M107,"mm/aaaa")</f>
        <v>02/2026</v>
      </c>
      <c r="V107" t="str">
        <f t="shared" si="2"/>
        <v/>
      </c>
      <c r="W107" s="26">
        <f t="shared" ca="1" si="3"/>
        <v>0</v>
      </c>
    </row>
    <row r="108" spans="1:23">
      <c r="A108" t="s">
        <v>835</v>
      </c>
      <c r="B108" t="s">
        <v>412</v>
      </c>
      <c r="C108" t="s">
        <v>413</v>
      </c>
      <c r="D108" t="s">
        <v>55</v>
      </c>
      <c r="E108" t="s">
        <v>414</v>
      </c>
      <c r="F108" t="s">
        <v>23</v>
      </c>
      <c r="G108" t="s">
        <v>119</v>
      </c>
      <c r="H108">
        <v>838800</v>
      </c>
      <c r="I108" t="s">
        <v>25</v>
      </c>
      <c r="J108">
        <v>248400</v>
      </c>
      <c r="K108" t="s">
        <v>25</v>
      </c>
      <c r="L108" t="s">
        <v>155</v>
      </c>
      <c r="M108" s="20">
        <v>46203</v>
      </c>
      <c r="N108" s="20">
        <v>46111</v>
      </c>
      <c r="O108" t="s">
        <v>554</v>
      </c>
      <c r="P108" t="s">
        <v>58</v>
      </c>
      <c r="Q108" t="s">
        <v>324</v>
      </c>
      <c r="R108" t="s">
        <v>29</v>
      </c>
      <c r="S108" t="s">
        <v>1012</v>
      </c>
      <c r="T108" t="str">
        <f>IF(OR(F108="Project - Competitive",F108="Project - Not Competitive"),"New Business","Upsell")</f>
        <v>Upsell</v>
      </c>
      <c r="U108" t="str">
        <f>TEXT(M108,"mm/aaaa")</f>
        <v>06/2026</v>
      </c>
      <c r="V108" t="str">
        <f t="shared" si="2"/>
        <v/>
      </c>
      <c r="W108" s="26">
        <f t="shared" ca="1" si="3"/>
        <v>27</v>
      </c>
    </row>
    <row r="109" spans="1:23">
      <c r="A109" t="s">
        <v>411</v>
      </c>
      <c r="B109" t="s">
        <v>412</v>
      </c>
      <c r="C109" t="s">
        <v>413</v>
      </c>
      <c r="D109" t="s">
        <v>55</v>
      </c>
      <c r="E109" t="s">
        <v>839</v>
      </c>
      <c r="F109" t="s">
        <v>23</v>
      </c>
      <c r="G109" t="s">
        <v>24</v>
      </c>
      <c r="H109">
        <v>134323.20000000001</v>
      </c>
      <c r="I109" t="s">
        <v>25</v>
      </c>
      <c r="J109">
        <v>134323.20000000001</v>
      </c>
      <c r="K109" t="s">
        <v>25</v>
      </c>
      <c r="L109" t="s">
        <v>155</v>
      </c>
      <c r="M109" s="20">
        <v>46142</v>
      </c>
      <c r="N109" s="20">
        <v>46020</v>
      </c>
      <c r="O109" t="s">
        <v>27</v>
      </c>
      <c r="P109" t="s">
        <v>58</v>
      </c>
      <c r="Q109" t="s">
        <v>415</v>
      </c>
      <c r="R109" t="s">
        <v>29</v>
      </c>
      <c r="S109" t="s">
        <v>1012</v>
      </c>
      <c r="T109" t="str">
        <f>IF(OR(F109="Project - Competitive",F109="Project - Not Competitive"),"New Business","Upsell")</f>
        <v>Upsell</v>
      </c>
      <c r="U109" t="str">
        <f>TEXT(M109,"mm/aaaa")</f>
        <v>04/2026</v>
      </c>
      <c r="V109" t="str">
        <f t="shared" si="2"/>
        <v/>
      </c>
      <c r="W109" s="26">
        <f t="shared" ca="1" si="3"/>
        <v>118</v>
      </c>
    </row>
    <row r="110" spans="1:23">
      <c r="A110" t="s">
        <v>609</v>
      </c>
      <c r="B110" t="s">
        <v>610</v>
      </c>
      <c r="C110" t="s">
        <v>611</v>
      </c>
      <c r="D110" t="s">
        <v>55</v>
      </c>
      <c r="E110" t="s">
        <v>613</v>
      </c>
      <c r="F110" t="s">
        <v>23</v>
      </c>
      <c r="G110" t="s">
        <v>66</v>
      </c>
      <c r="H110">
        <v>694094.88</v>
      </c>
      <c r="I110" t="s">
        <v>25</v>
      </c>
      <c r="J110">
        <v>292423.2</v>
      </c>
      <c r="K110" t="s">
        <v>25</v>
      </c>
      <c r="L110" t="s">
        <v>155</v>
      </c>
      <c r="M110" s="20">
        <v>46173</v>
      </c>
      <c r="N110" s="20">
        <v>46072</v>
      </c>
      <c r="O110" t="s">
        <v>27</v>
      </c>
      <c r="P110" t="s">
        <v>58</v>
      </c>
      <c r="Q110" t="s">
        <v>164</v>
      </c>
      <c r="R110" t="s">
        <v>29</v>
      </c>
      <c r="S110" t="s">
        <v>1012</v>
      </c>
      <c r="T110" t="str">
        <f>IF(OR(F110="Project - Competitive",F110="Project - Not Competitive"),"New Business","Upsell")</f>
        <v>Upsell</v>
      </c>
      <c r="U110" t="str">
        <f>TEXT(M110,"mm/aaaa")</f>
        <v>05/2026</v>
      </c>
      <c r="V110" t="str">
        <f t="shared" si="2"/>
        <v/>
      </c>
      <c r="W110" s="26">
        <f t="shared" ca="1" si="3"/>
        <v>66</v>
      </c>
    </row>
    <row r="111" spans="1:23">
      <c r="A111" t="s">
        <v>934</v>
      </c>
      <c r="B111" t="s">
        <v>935</v>
      </c>
      <c r="C111" t="s">
        <v>936</v>
      </c>
      <c r="D111" t="s">
        <v>95</v>
      </c>
      <c r="E111" t="s">
        <v>939</v>
      </c>
      <c r="F111" t="s">
        <v>82</v>
      </c>
      <c r="G111" t="s">
        <v>330</v>
      </c>
      <c r="H111">
        <v>695284.8</v>
      </c>
      <c r="I111" t="s">
        <v>25</v>
      </c>
      <c r="J111">
        <v>170638.2</v>
      </c>
      <c r="K111" t="s">
        <v>25</v>
      </c>
      <c r="L111" t="s">
        <v>155</v>
      </c>
      <c r="M111" s="20">
        <v>46203</v>
      </c>
      <c r="N111" s="20">
        <v>46299</v>
      </c>
      <c r="O111" t="s">
        <v>872</v>
      </c>
      <c r="P111" t="s">
        <v>1018</v>
      </c>
      <c r="Q111" t="s">
        <v>165</v>
      </c>
      <c r="R111" t="s">
        <v>29</v>
      </c>
      <c r="S111" t="s">
        <v>1012</v>
      </c>
      <c r="T111" t="str">
        <f>IF(OR(F111="Project - Competitive",F111="Project - Not Competitive"),"New Business","Upsell")</f>
        <v>Upsell</v>
      </c>
      <c r="U111" t="str">
        <f>TEXT(M111,"mm/aaaa")</f>
        <v>06/2026</v>
      </c>
      <c r="V111" t="str">
        <f t="shared" si="2"/>
        <v/>
      </c>
      <c r="W111" s="26">
        <f t="shared" ca="1" si="3"/>
        <v>0</v>
      </c>
    </row>
    <row r="112" spans="1:23">
      <c r="A112" t="s">
        <v>302</v>
      </c>
      <c r="B112" t="s">
        <v>303</v>
      </c>
      <c r="C112" t="s">
        <v>304</v>
      </c>
      <c r="D112" t="s">
        <v>102</v>
      </c>
      <c r="E112" t="s">
        <v>307</v>
      </c>
      <c r="F112" t="s">
        <v>82</v>
      </c>
      <c r="G112" t="s">
        <v>40</v>
      </c>
      <c r="H112">
        <v>760000</v>
      </c>
      <c r="I112" t="s">
        <v>25</v>
      </c>
      <c r="J112">
        <v>131750</v>
      </c>
      <c r="K112" t="s">
        <v>25</v>
      </c>
      <c r="L112" t="s">
        <v>155</v>
      </c>
      <c r="M112" s="20">
        <v>46049</v>
      </c>
      <c r="N112" s="20">
        <v>45987</v>
      </c>
      <c r="O112" t="s">
        <v>27</v>
      </c>
      <c r="P112" t="s">
        <v>1018</v>
      </c>
      <c r="Q112" t="s">
        <v>306</v>
      </c>
      <c r="R112" t="s">
        <v>29</v>
      </c>
      <c r="S112" t="s">
        <v>1012</v>
      </c>
      <c r="T112" t="str">
        <f>IF(OR(F112="Project - Competitive",F112="Project - Not Competitive"),"New Business","Upsell")</f>
        <v>Upsell</v>
      </c>
      <c r="U112" t="str">
        <f>TEXT(M112,"mm/aaaa")</f>
        <v>01/2026</v>
      </c>
      <c r="V112">
        <f t="shared" si="2"/>
        <v>62</v>
      </c>
      <c r="W112" s="26" t="str">
        <f t="shared" ca="1" si="3"/>
        <v/>
      </c>
    </row>
    <row r="113" spans="1:23" ht="14.4" customHeight="1">
      <c r="A113" t="s">
        <v>397</v>
      </c>
      <c r="B113" t="s">
        <v>303</v>
      </c>
      <c r="C113" t="s">
        <v>304</v>
      </c>
      <c r="D113" t="s">
        <v>102</v>
      </c>
      <c r="E113" t="s">
        <v>307</v>
      </c>
      <c r="F113" t="s">
        <v>23</v>
      </c>
      <c r="G113" t="s">
        <v>40</v>
      </c>
      <c r="H113">
        <v>10784</v>
      </c>
      <c r="I113" t="s">
        <v>25</v>
      </c>
      <c r="J113">
        <v>5392</v>
      </c>
      <c r="K113" t="s">
        <v>25</v>
      </c>
      <c r="L113" t="s">
        <v>155</v>
      </c>
      <c r="M113" s="20">
        <v>46049</v>
      </c>
      <c r="N113" s="20">
        <v>46009</v>
      </c>
      <c r="O113" t="s">
        <v>27</v>
      </c>
      <c r="P113" t="s">
        <v>1018</v>
      </c>
      <c r="Q113" t="s">
        <v>306</v>
      </c>
      <c r="R113" t="s">
        <v>29</v>
      </c>
      <c r="S113" t="s">
        <v>1012</v>
      </c>
      <c r="T113" t="str">
        <f>IF(OR(F113="Project - Competitive",F113="Project - Not Competitive"),"New Business","Upsell")</f>
        <v>Upsell</v>
      </c>
      <c r="U113" t="str">
        <f>TEXT(M113,"mm/aaaa")</f>
        <v>01/2026</v>
      </c>
      <c r="V113">
        <f t="shared" si="2"/>
        <v>40</v>
      </c>
      <c r="W113" s="26" t="str">
        <f t="shared" ca="1" si="3"/>
        <v/>
      </c>
    </row>
    <row r="114" spans="1:23" ht="14.4" customHeight="1">
      <c r="A114" t="s">
        <v>574</v>
      </c>
      <c r="B114" t="s">
        <v>124</v>
      </c>
      <c r="C114" t="s">
        <v>125</v>
      </c>
      <c r="D114" t="s">
        <v>126</v>
      </c>
      <c r="E114" t="s">
        <v>319</v>
      </c>
      <c r="F114" t="s">
        <v>23</v>
      </c>
      <c r="G114" t="s">
        <v>119</v>
      </c>
      <c r="H114">
        <v>1429074.08</v>
      </c>
      <c r="I114" t="s">
        <v>25</v>
      </c>
      <c r="J114">
        <v>349188.48</v>
      </c>
      <c r="K114" t="s">
        <v>25</v>
      </c>
      <c r="L114" t="s">
        <v>437</v>
      </c>
      <c r="M114" s="20">
        <v>46171</v>
      </c>
      <c r="N114" s="20">
        <v>46066</v>
      </c>
      <c r="O114" t="s">
        <v>27</v>
      </c>
      <c r="P114" t="s">
        <v>1018</v>
      </c>
      <c r="Q114" t="s">
        <v>164</v>
      </c>
      <c r="R114" t="s">
        <v>29</v>
      </c>
      <c r="S114" t="s">
        <v>1012</v>
      </c>
      <c r="T114" t="str">
        <f>IF(OR(F114="Project - Competitive",F114="Project - Not Competitive"),"New Business","Upsell")</f>
        <v>Upsell</v>
      </c>
      <c r="U114" t="str">
        <f>TEXT(M114,"mm/aaaa")</f>
        <v>05/2026</v>
      </c>
      <c r="V114" t="str">
        <f t="shared" si="2"/>
        <v/>
      </c>
      <c r="W114" s="26">
        <f t="shared" ca="1" si="3"/>
        <v>72</v>
      </c>
    </row>
    <row r="115" spans="1:23">
      <c r="A115" t="s">
        <v>462</v>
      </c>
      <c r="B115" t="s">
        <v>463</v>
      </c>
      <c r="C115" t="s">
        <v>464</v>
      </c>
      <c r="D115" t="s">
        <v>298</v>
      </c>
      <c r="E115" t="s">
        <v>469</v>
      </c>
      <c r="F115" t="s">
        <v>39</v>
      </c>
      <c r="G115" t="s">
        <v>40</v>
      </c>
      <c r="H115">
        <v>4293965.2399999993</v>
      </c>
      <c r="I115" t="s">
        <v>25</v>
      </c>
      <c r="J115">
        <v>439216.68</v>
      </c>
      <c r="K115" t="s">
        <v>25</v>
      </c>
      <c r="L115" t="s">
        <v>437</v>
      </c>
      <c r="M115" s="20">
        <v>46080</v>
      </c>
      <c r="N115" s="20">
        <v>46042</v>
      </c>
      <c r="O115" t="s">
        <v>149</v>
      </c>
      <c r="P115" t="s">
        <v>1018</v>
      </c>
      <c r="Q115" t="s">
        <v>88</v>
      </c>
      <c r="R115" t="s">
        <v>29</v>
      </c>
      <c r="S115" t="s">
        <v>1015</v>
      </c>
      <c r="T115" t="str">
        <f>IF(OR(F115="Project - Competitive",F115="Project - Not Competitive"),"New Business","Upsell")</f>
        <v>New Business</v>
      </c>
      <c r="U115" t="str">
        <f>TEXT(M115,"mm/aaaa")</f>
        <v>02/2026</v>
      </c>
      <c r="V115">
        <f t="shared" si="2"/>
        <v>38</v>
      </c>
      <c r="W115" s="26" t="str">
        <f t="shared" ca="1" si="3"/>
        <v/>
      </c>
    </row>
    <row r="116" spans="1:23">
      <c r="A116" t="s">
        <v>432</v>
      </c>
      <c r="B116" t="s">
        <v>326</v>
      </c>
      <c r="C116" t="s">
        <v>327</v>
      </c>
      <c r="D116" t="s">
        <v>328</v>
      </c>
      <c r="E116" t="s">
        <v>435</v>
      </c>
      <c r="F116" t="s">
        <v>82</v>
      </c>
      <c r="G116" t="s">
        <v>40</v>
      </c>
      <c r="H116">
        <v>3156666.46</v>
      </c>
      <c r="I116" t="s">
        <v>25</v>
      </c>
      <c r="J116">
        <v>660775.92000000004</v>
      </c>
      <c r="K116" t="s">
        <v>25</v>
      </c>
      <c r="L116" t="s">
        <v>437</v>
      </c>
      <c r="M116" s="20">
        <v>46079</v>
      </c>
      <c r="N116" s="20">
        <v>46357</v>
      </c>
      <c r="O116" t="s">
        <v>27</v>
      </c>
      <c r="P116" t="s">
        <v>1018</v>
      </c>
      <c r="Q116" t="s">
        <v>434</v>
      </c>
      <c r="R116" t="s">
        <v>29</v>
      </c>
      <c r="S116" t="s">
        <v>1012</v>
      </c>
      <c r="T116" t="str">
        <f>IF(OR(F116="Project - Competitive",F116="Project - Not Competitive"),"New Business","Upsell")</f>
        <v>Upsell</v>
      </c>
      <c r="U116" t="str">
        <f>TEXT(M116,"mm/aaaa")</f>
        <v>02/2026</v>
      </c>
      <c r="V116" t="str">
        <f t="shared" si="2"/>
        <v/>
      </c>
      <c r="W116" s="26" t="str">
        <f t="shared" ca="1" si="3"/>
        <v/>
      </c>
    </row>
    <row r="117" spans="1:23">
      <c r="A117" t="s">
        <v>220</v>
      </c>
      <c r="B117" t="s">
        <v>221</v>
      </c>
      <c r="C117" t="s">
        <v>222</v>
      </c>
      <c r="D117" t="s">
        <v>47</v>
      </c>
      <c r="E117" t="s">
        <v>229</v>
      </c>
      <c r="F117" t="s">
        <v>39</v>
      </c>
      <c r="G117" t="s">
        <v>66</v>
      </c>
      <c r="H117">
        <v>286464</v>
      </c>
      <c r="I117" t="s">
        <v>25</v>
      </c>
      <c r="J117">
        <v>250464</v>
      </c>
      <c r="K117" t="s">
        <v>25</v>
      </c>
      <c r="L117" t="s">
        <v>209</v>
      </c>
      <c r="M117" s="20">
        <v>46202</v>
      </c>
      <c r="N117" s="20">
        <v>45727</v>
      </c>
      <c r="O117" t="s">
        <v>224</v>
      </c>
      <c r="P117" t="s">
        <v>1018</v>
      </c>
      <c r="Q117" t="s">
        <v>225</v>
      </c>
      <c r="R117" t="s">
        <v>226</v>
      </c>
      <c r="S117" t="s">
        <v>1013</v>
      </c>
      <c r="T117" t="str">
        <f>IF(OR(F117="Project - Competitive",F117="Project - Not Competitive"),"New Business","Upsell")</f>
        <v>New Business</v>
      </c>
      <c r="U117" t="str">
        <f>TEXT(M117,"mm/aaaa")</f>
        <v>06/2026</v>
      </c>
      <c r="V117" t="str">
        <f t="shared" si="2"/>
        <v/>
      </c>
      <c r="W117" s="26">
        <f t="shared" ca="1" si="3"/>
        <v>411</v>
      </c>
    </row>
    <row r="118" spans="1:23">
      <c r="A118" t="s">
        <v>205</v>
      </c>
      <c r="B118" t="s">
        <v>206</v>
      </c>
      <c r="C118" t="s">
        <v>207</v>
      </c>
      <c r="D118" t="s">
        <v>37</v>
      </c>
      <c r="E118" t="s">
        <v>212</v>
      </c>
      <c r="F118" t="s">
        <v>39</v>
      </c>
      <c r="G118" t="s">
        <v>40</v>
      </c>
      <c r="H118">
        <v>1014586.08</v>
      </c>
      <c r="I118" t="s">
        <v>25</v>
      </c>
      <c r="J118">
        <v>286707.59999999998</v>
      </c>
      <c r="K118" t="s">
        <v>25</v>
      </c>
      <c r="L118" t="s">
        <v>209</v>
      </c>
      <c r="M118" s="20">
        <v>46174</v>
      </c>
      <c r="N118" s="20">
        <v>45957</v>
      </c>
      <c r="O118" t="s">
        <v>554</v>
      </c>
      <c r="P118" t="s">
        <v>1005</v>
      </c>
      <c r="Q118" t="s">
        <v>210</v>
      </c>
      <c r="R118" t="s">
        <v>122</v>
      </c>
      <c r="S118" t="s">
        <v>1012</v>
      </c>
      <c r="T118" t="str">
        <f>IF(OR(F118="Project - Competitive",F118="Project - Not Competitive"),"New Business","Upsell")</f>
        <v>New Business</v>
      </c>
      <c r="U118" t="str">
        <f>TEXT(M118,"mm/aaaa")</f>
        <v>06/2026</v>
      </c>
      <c r="V118">
        <f t="shared" si="2"/>
        <v>217</v>
      </c>
      <c r="W118" s="26" t="str">
        <f t="shared" ca="1" si="3"/>
        <v/>
      </c>
    </row>
    <row r="119" spans="1:23">
      <c r="A119" t="s">
        <v>550</v>
      </c>
      <c r="B119" t="s">
        <v>551</v>
      </c>
      <c r="C119" t="s">
        <v>552</v>
      </c>
      <c r="D119" t="s">
        <v>37</v>
      </c>
      <c r="E119" t="s">
        <v>553</v>
      </c>
      <c r="F119" t="s">
        <v>39</v>
      </c>
      <c r="G119" t="s">
        <v>119</v>
      </c>
      <c r="H119">
        <v>863424.8</v>
      </c>
      <c r="I119" t="s">
        <v>25</v>
      </c>
      <c r="J119">
        <v>487402.9</v>
      </c>
      <c r="K119" t="s">
        <v>25</v>
      </c>
      <c r="L119" t="s">
        <v>209</v>
      </c>
      <c r="M119" s="20">
        <v>46027</v>
      </c>
      <c r="N119" s="20">
        <v>46328</v>
      </c>
      <c r="O119" t="s">
        <v>554</v>
      </c>
      <c r="P119" t="s">
        <v>1018</v>
      </c>
      <c r="Q119" t="s">
        <v>555</v>
      </c>
      <c r="R119" t="s">
        <v>198</v>
      </c>
      <c r="S119" t="s">
        <v>1012</v>
      </c>
      <c r="T119" t="str">
        <f>IF(OR(F119="Project - Competitive",F119="Project - Not Competitive"),"New Business","Upsell")</f>
        <v>New Business</v>
      </c>
      <c r="U119" t="str">
        <f>TEXT(M119,"mm/aaaa")</f>
        <v>01/2026</v>
      </c>
      <c r="V119" t="str">
        <f t="shared" si="2"/>
        <v/>
      </c>
      <c r="W119" s="26">
        <f t="shared" ca="1" si="3"/>
        <v>0</v>
      </c>
    </row>
    <row r="120" spans="1:23">
      <c r="A120" t="s">
        <v>919</v>
      </c>
      <c r="B120" t="s">
        <v>551</v>
      </c>
      <c r="C120" t="s">
        <v>552</v>
      </c>
      <c r="D120" t="s">
        <v>37</v>
      </c>
      <c r="E120" t="s">
        <v>920</v>
      </c>
      <c r="F120" t="s">
        <v>49</v>
      </c>
      <c r="G120" t="s">
        <v>330</v>
      </c>
      <c r="H120">
        <v>265143.84999999998</v>
      </c>
      <c r="I120" t="s">
        <v>25</v>
      </c>
      <c r="J120">
        <v>265143.84999999998</v>
      </c>
      <c r="K120" t="s">
        <v>25</v>
      </c>
      <c r="L120" t="s">
        <v>209</v>
      </c>
      <c r="M120" s="20">
        <v>46240</v>
      </c>
      <c r="N120" s="20">
        <v>46269</v>
      </c>
      <c r="O120" t="s">
        <v>290</v>
      </c>
      <c r="P120" t="s">
        <v>1018</v>
      </c>
      <c r="Q120" t="s">
        <v>324</v>
      </c>
      <c r="R120" t="s">
        <v>324</v>
      </c>
      <c r="S120" t="s">
        <v>1015</v>
      </c>
      <c r="T120" t="str">
        <f>IF(OR(F120="Project - Competitive",F120="Project - Not Competitive"),"New Business","Upsell")</f>
        <v>New Business</v>
      </c>
      <c r="U120" t="str">
        <f>TEXT(M120,"mm/aaaa")</f>
        <v>08/2026</v>
      </c>
      <c r="V120" t="str">
        <f t="shared" si="2"/>
        <v/>
      </c>
      <c r="W120" s="26">
        <f t="shared" ca="1" si="3"/>
        <v>0</v>
      </c>
    </row>
    <row r="121" spans="1:23">
      <c r="A121" t="s">
        <v>685</v>
      </c>
      <c r="B121" t="s">
        <v>686</v>
      </c>
      <c r="C121" t="s">
        <v>1063</v>
      </c>
      <c r="D121" t="s">
        <v>328</v>
      </c>
      <c r="E121" t="s">
        <v>1047</v>
      </c>
      <c r="F121" t="s">
        <v>23</v>
      </c>
      <c r="G121" t="s">
        <v>330</v>
      </c>
      <c r="H121">
        <v>120000</v>
      </c>
      <c r="I121" t="s">
        <v>25</v>
      </c>
      <c r="J121">
        <v>120000</v>
      </c>
      <c r="K121" t="s">
        <v>25</v>
      </c>
      <c r="L121" t="s">
        <v>294</v>
      </c>
      <c r="M121" s="20">
        <v>46203</v>
      </c>
      <c r="N121" s="20">
        <v>46176</v>
      </c>
      <c r="O121" t="s">
        <v>1006</v>
      </c>
      <c r="P121" t="s">
        <v>1018</v>
      </c>
      <c r="Q121" t="s">
        <v>164</v>
      </c>
      <c r="R121" t="s">
        <v>29</v>
      </c>
      <c r="S121" t="s">
        <v>1012</v>
      </c>
      <c r="T121" t="str">
        <f>IF(OR(F121="Project - Competitive",F121="Project - Not Competitive"),"New Business","Upsell")</f>
        <v>Upsell</v>
      </c>
      <c r="U121" t="str">
        <f>TEXT(M121,"mm/aaaa")</f>
        <v>06/2026</v>
      </c>
      <c r="V121" t="str">
        <f t="shared" si="2"/>
        <v/>
      </c>
      <c r="W121" s="26">
        <f t="shared" ca="1" si="3"/>
        <v>0</v>
      </c>
    </row>
    <row r="122" spans="1:23">
      <c r="A122" t="s">
        <v>419</v>
      </c>
      <c r="B122" t="s">
        <v>420</v>
      </c>
      <c r="C122" t="s">
        <v>421</v>
      </c>
      <c r="D122" t="s">
        <v>110</v>
      </c>
      <c r="E122" t="s">
        <v>422</v>
      </c>
      <c r="F122" t="s">
        <v>82</v>
      </c>
      <c r="G122" t="s">
        <v>24</v>
      </c>
      <c r="H122">
        <v>120000</v>
      </c>
      <c r="I122" t="s">
        <v>25</v>
      </c>
      <c r="J122">
        <v>120000</v>
      </c>
      <c r="K122" t="s">
        <v>25</v>
      </c>
      <c r="L122" t="s">
        <v>294</v>
      </c>
      <c r="M122" s="20">
        <v>46142</v>
      </c>
      <c r="N122" s="20">
        <v>46235</v>
      </c>
      <c r="O122" t="s">
        <v>27</v>
      </c>
      <c r="P122" t="s">
        <v>1018</v>
      </c>
      <c r="Q122" t="s">
        <v>271</v>
      </c>
      <c r="R122" t="s">
        <v>29</v>
      </c>
      <c r="S122" t="s">
        <v>1012</v>
      </c>
      <c r="T122" t="str">
        <f>IF(OR(F122="Project - Competitive",F122="Project - Not Competitive"),"New Business","Upsell")</f>
        <v>Upsell</v>
      </c>
      <c r="U122" t="str">
        <f>TEXT(M122,"mm/aaaa")</f>
        <v>04/2026</v>
      </c>
      <c r="V122" t="str">
        <f t="shared" si="2"/>
        <v/>
      </c>
      <c r="W122" s="26">
        <f t="shared" ca="1" si="3"/>
        <v>0</v>
      </c>
    </row>
    <row r="123" spans="1:23" ht="14.4" customHeight="1">
      <c r="A123" t="s">
        <v>573</v>
      </c>
      <c r="B123" t="s">
        <v>420</v>
      </c>
      <c r="C123" t="s">
        <v>421</v>
      </c>
      <c r="D123" t="s">
        <v>110</v>
      </c>
      <c r="E123" t="s">
        <v>422</v>
      </c>
      <c r="F123" t="s">
        <v>23</v>
      </c>
      <c r="G123" t="s">
        <v>24</v>
      </c>
      <c r="H123">
        <v>24000</v>
      </c>
      <c r="I123" t="s">
        <v>25</v>
      </c>
      <c r="J123">
        <v>24000</v>
      </c>
      <c r="K123" t="s">
        <v>25</v>
      </c>
      <c r="L123" t="s">
        <v>294</v>
      </c>
      <c r="M123" s="20">
        <v>46142</v>
      </c>
      <c r="N123" s="20">
        <v>46358</v>
      </c>
      <c r="O123" t="s">
        <v>27</v>
      </c>
      <c r="P123" t="s">
        <v>1018</v>
      </c>
      <c r="Q123" t="s">
        <v>271</v>
      </c>
      <c r="R123" t="s">
        <v>29</v>
      </c>
      <c r="S123" t="s">
        <v>1012</v>
      </c>
      <c r="T123" t="str">
        <f>IF(OR(F123="Project - Competitive",F123="Project - Not Competitive"),"New Business","Upsell")</f>
        <v>Upsell</v>
      </c>
      <c r="U123" t="str">
        <f>TEXT(M123,"mm/aaaa")</f>
        <v>04/2026</v>
      </c>
      <c r="V123" t="str">
        <f t="shared" si="2"/>
        <v/>
      </c>
      <c r="W123" s="26">
        <f t="shared" ca="1" si="3"/>
        <v>0</v>
      </c>
    </row>
    <row r="124" spans="1:23" ht="14.4" customHeight="1">
      <c r="A124" t="s">
        <v>528</v>
      </c>
      <c r="B124" t="s">
        <v>529</v>
      </c>
      <c r="C124" t="s">
        <v>530</v>
      </c>
      <c r="D124" t="s">
        <v>175</v>
      </c>
      <c r="E124" t="s">
        <v>531</v>
      </c>
      <c r="F124" t="s">
        <v>23</v>
      </c>
      <c r="G124" t="s">
        <v>40</v>
      </c>
      <c r="H124">
        <v>252348</v>
      </c>
      <c r="I124" t="s">
        <v>25</v>
      </c>
      <c r="J124">
        <v>252348</v>
      </c>
      <c r="K124" t="s">
        <v>25</v>
      </c>
      <c r="L124" t="s">
        <v>294</v>
      </c>
      <c r="M124" s="20">
        <v>46106</v>
      </c>
      <c r="N124" s="20">
        <v>46144</v>
      </c>
      <c r="O124" t="s">
        <v>27</v>
      </c>
      <c r="P124" t="s">
        <v>1005</v>
      </c>
      <c r="Q124" t="s">
        <v>532</v>
      </c>
      <c r="R124" t="s">
        <v>29</v>
      </c>
      <c r="S124" t="s">
        <v>1012</v>
      </c>
      <c r="T124" t="str">
        <f>IF(OR(F124="Project - Competitive",F124="Project - Not Competitive"),"New Business","Upsell")</f>
        <v>Upsell</v>
      </c>
      <c r="U124" t="str">
        <f>TEXT(M124,"mm/aaaa")</f>
        <v>03/2026</v>
      </c>
      <c r="V124" t="str">
        <f t="shared" si="2"/>
        <v/>
      </c>
      <c r="W124" s="26" t="str">
        <f t="shared" ca="1" si="3"/>
        <v/>
      </c>
    </row>
    <row r="125" spans="1:23" ht="14.4" customHeight="1">
      <c r="A125" t="s">
        <v>756</v>
      </c>
      <c r="B125" t="s">
        <v>757</v>
      </c>
      <c r="C125" t="s">
        <v>758</v>
      </c>
      <c r="D125" t="s">
        <v>328</v>
      </c>
      <c r="E125" t="s">
        <v>759</v>
      </c>
      <c r="F125" t="s">
        <v>23</v>
      </c>
      <c r="G125" t="s">
        <v>330</v>
      </c>
      <c r="H125">
        <v>144000</v>
      </c>
      <c r="I125" t="s">
        <v>25</v>
      </c>
      <c r="J125">
        <v>144000</v>
      </c>
      <c r="K125" t="s">
        <v>25</v>
      </c>
      <c r="L125" t="s">
        <v>294</v>
      </c>
      <c r="M125" s="20">
        <v>46203</v>
      </c>
      <c r="N125" s="20">
        <v>46094</v>
      </c>
      <c r="O125" t="s">
        <v>27</v>
      </c>
      <c r="P125" t="s">
        <v>1018</v>
      </c>
      <c r="Q125" t="s">
        <v>526</v>
      </c>
      <c r="R125" t="s">
        <v>29</v>
      </c>
      <c r="S125" t="s">
        <v>1012</v>
      </c>
      <c r="T125" t="str">
        <f>IF(OR(F125="Project - Competitive",F125="Project - Not Competitive"),"New Business","Upsell")</f>
        <v>Upsell</v>
      </c>
      <c r="U125" t="str">
        <f>TEXT(M125,"mm/aaaa")</f>
        <v>06/2026</v>
      </c>
      <c r="V125" t="str">
        <f t="shared" si="2"/>
        <v/>
      </c>
      <c r="W125" s="26">
        <f t="shared" ca="1" si="3"/>
        <v>44</v>
      </c>
    </row>
    <row r="126" spans="1:23">
      <c r="A126" t="s">
        <v>590</v>
      </c>
      <c r="B126" t="s">
        <v>591</v>
      </c>
      <c r="C126" t="s">
        <v>592</v>
      </c>
      <c r="D126" t="s">
        <v>64</v>
      </c>
      <c r="E126" t="s">
        <v>593</v>
      </c>
      <c r="F126" t="s">
        <v>49</v>
      </c>
      <c r="G126" t="s">
        <v>119</v>
      </c>
      <c r="H126">
        <v>144000</v>
      </c>
      <c r="I126" t="s">
        <v>25</v>
      </c>
      <c r="J126">
        <v>144000</v>
      </c>
      <c r="K126" t="s">
        <v>25</v>
      </c>
      <c r="L126" t="s">
        <v>294</v>
      </c>
      <c r="M126" s="20">
        <v>46171</v>
      </c>
      <c r="N126" s="20">
        <v>46066</v>
      </c>
      <c r="O126" t="s">
        <v>290</v>
      </c>
      <c r="P126" t="s">
        <v>1018</v>
      </c>
      <c r="Q126" t="s">
        <v>589</v>
      </c>
      <c r="R126" t="s">
        <v>29</v>
      </c>
      <c r="S126" t="s">
        <v>1015</v>
      </c>
      <c r="T126" t="str">
        <f>IF(OR(F126="Project - Competitive",F126="Project - Not Competitive"),"New Business","Upsell")</f>
        <v>New Business</v>
      </c>
      <c r="U126" t="str">
        <f>TEXT(M126,"mm/aaaa")</f>
        <v>05/2026</v>
      </c>
      <c r="V126" t="str">
        <f t="shared" si="2"/>
        <v/>
      </c>
      <c r="W126" s="26">
        <f t="shared" ca="1" si="3"/>
        <v>72</v>
      </c>
    </row>
    <row r="127" spans="1:23" ht="14.4" customHeight="1">
      <c r="A127" t="s">
        <v>286</v>
      </c>
      <c r="B127" t="s">
        <v>287</v>
      </c>
      <c r="C127" t="s">
        <v>288</v>
      </c>
      <c r="D127" t="s">
        <v>132</v>
      </c>
      <c r="E127" t="s">
        <v>293</v>
      </c>
      <c r="F127" t="s">
        <v>39</v>
      </c>
      <c r="G127" t="s">
        <v>40</v>
      </c>
      <c r="H127">
        <v>195525</v>
      </c>
      <c r="I127" t="s">
        <v>25</v>
      </c>
      <c r="J127">
        <v>25500</v>
      </c>
      <c r="K127" t="s">
        <v>25</v>
      </c>
      <c r="L127" t="s">
        <v>294</v>
      </c>
      <c r="M127" s="20">
        <v>46112</v>
      </c>
      <c r="N127" s="20">
        <v>45987</v>
      </c>
      <c r="O127" t="s">
        <v>290</v>
      </c>
      <c r="P127" t="s">
        <v>58</v>
      </c>
      <c r="Q127" t="s">
        <v>83</v>
      </c>
      <c r="R127" t="s">
        <v>185</v>
      </c>
      <c r="S127" t="s">
        <v>1015</v>
      </c>
      <c r="T127" t="str">
        <f>IF(OR(F127="Project - Competitive",F127="Project - Not Competitive"),"New Business","Upsell")</f>
        <v>New Business</v>
      </c>
      <c r="U127" t="str">
        <f>TEXT(M127,"mm/aaaa")</f>
        <v>03/2026</v>
      </c>
      <c r="V127">
        <f t="shared" si="2"/>
        <v>125</v>
      </c>
      <c r="W127" s="26" t="str">
        <f t="shared" ca="1" si="3"/>
        <v/>
      </c>
    </row>
    <row r="128" spans="1:23" ht="14.4" customHeight="1">
      <c r="A128" t="s">
        <v>781</v>
      </c>
      <c r="B128" t="s">
        <v>782</v>
      </c>
      <c r="C128" t="s">
        <v>783</v>
      </c>
      <c r="D128" t="s">
        <v>64</v>
      </c>
      <c r="E128" t="s">
        <v>784</v>
      </c>
      <c r="F128" t="s">
        <v>49</v>
      </c>
      <c r="G128" t="s">
        <v>40</v>
      </c>
      <c r="H128">
        <v>264500</v>
      </c>
      <c r="I128" t="s">
        <v>25</v>
      </c>
      <c r="J128">
        <v>264500</v>
      </c>
      <c r="K128" t="s">
        <v>25</v>
      </c>
      <c r="L128" t="s">
        <v>294</v>
      </c>
      <c r="M128" s="20">
        <v>46111</v>
      </c>
      <c r="N128" s="20">
        <v>46100</v>
      </c>
      <c r="O128" t="s">
        <v>50</v>
      </c>
      <c r="P128" t="s">
        <v>1018</v>
      </c>
      <c r="Q128" t="s">
        <v>446</v>
      </c>
      <c r="R128" t="s">
        <v>324</v>
      </c>
      <c r="S128" t="s">
        <v>1015</v>
      </c>
      <c r="T128" t="str">
        <f>IF(OR(F128="Project - Competitive",F128="Project - Not Competitive"),"New Business","Upsell")</f>
        <v>New Business</v>
      </c>
      <c r="U128" t="str">
        <f>TEXT(M128,"mm/aaaa")</f>
        <v>03/2026</v>
      </c>
      <c r="V128">
        <f t="shared" si="2"/>
        <v>11</v>
      </c>
      <c r="W128" s="26" t="str">
        <f t="shared" ca="1" si="3"/>
        <v/>
      </c>
    </row>
    <row r="129" spans="1:23" ht="14.4" customHeight="1">
      <c r="A129" t="s">
        <v>765</v>
      </c>
      <c r="B129" t="s">
        <v>766</v>
      </c>
      <c r="C129" t="s">
        <v>767</v>
      </c>
      <c r="D129" t="s">
        <v>47</v>
      </c>
      <c r="E129" t="s">
        <v>768</v>
      </c>
      <c r="F129" t="s">
        <v>49</v>
      </c>
      <c r="G129" t="s">
        <v>535</v>
      </c>
      <c r="H129">
        <v>427005.1</v>
      </c>
      <c r="I129" t="s">
        <v>25</v>
      </c>
      <c r="J129">
        <v>427005.1</v>
      </c>
      <c r="K129" t="s">
        <v>25</v>
      </c>
      <c r="L129" t="s">
        <v>769</v>
      </c>
      <c r="M129" s="20">
        <v>46167</v>
      </c>
      <c r="N129" s="20">
        <v>46097</v>
      </c>
      <c r="O129" t="s">
        <v>50</v>
      </c>
      <c r="P129" t="s">
        <v>1005</v>
      </c>
      <c r="Q129" t="s">
        <v>446</v>
      </c>
      <c r="R129" t="s">
        <v>106</v>
      </c>
      <c r="S129" t="s">
        <v>1015</v>
      </c>
      <c r="T129" t="str">
        <f>IF(OR(F129="Project - Competitive",F129="Project - Not Competitive"),"New Business","Upsell")</f>
        <v>New Business</v>
      </c>
      <c r="U129" t="str">
        <f>TEXT(M129,"mm/aaaa")</f>
        <v>05/2026</v>
      </c>
      <c r="V129" t="str">
        <f t="shared" si="2"/>
        <v/>
      </c>
      <c r="W129" s="26">
        <f t="shared" ca="1" si="3"/>
        <v>41</v>
      </c>
    </row>
    <row r="130" spans="1:23" ht="14.4" customHeight="1">
      <c r="A130" t="s">
        <v>392</v>
      </c>
      <c r="B130" t="s">
        <v>249</v>
      </c>
      <c r="C130" t="s">
        <v>250</v>
      </c>
      <c r="D130" t="s">
        <v>95</v>
      </c>
      <c r="E130" t="s">
        <v>393</v>
      </c>
      <c r="F130" t="s">
        <v>82</v>
      </c>
      <c r="G130" t="s">
        <v>24</v>
      </c>
      <c r="H130">
        <v>1545188.16</v>
      </c>
      <c r="I130" t="s">
        <v>25</v>
      </c>
      <c r="J130">
        <v>1545188.16</v>
      </c>
      <c r="K130" t="s">
        <v>25</v>
      </c>
      <c r="L130" t="s">
        <v>134</v>
      </c>
      <c r="M130" s="20">
        <v>46142</v>
      </c>
      <c r="N130" s="20">
        <v>46009</v>
      </c>
      <c r="O130" t="s">
        <v>27</v>
      </c>
      <c r="P130" t="s">
        <v>1005</v>
      </c>
      <c r="Q130" t="s">
        <v>394</v>
      </c>
      <c r="R130" t="s">
        <v>29</v>
      </c>
      <c r="S130" t="s">
        <v>1012</v>
      </c>
      <c r="T130" t="str">
        <f>IF(OR(F130="Project - Competitive",F130="Project - Not Competitive"),"New Business","Upsell")</f>
        <v>Upsell</v>
      </c>
      <c r="U130" t="str">
        <f>TEXT(M130,"mm/aaaa")</f>
        <v>04/2026</v>
      </c>
      <c r="V130" t="str">
        <f t="shared" si="2"/>
        <v/>
      </c>
      <c r="W130" s="26">
        <f t="shared" ca="1" si="3"/>
        <v>129</v>
      </c>
    </row>
    <row r="131" spans="1:23">
      <c r="A131" t="s">
        <v>557</v>
      </c>
      <c r="B131" t="s">
        <v>558</v>
      </c>
      <c r="C131" t="s">
        <v>559</v>
      </c>
      <c r="D131" t="s">
        <v>560</v>
      </c>
      <c r="E131" t="s">
        <v>561</v>
      </c>
      <c r="F131" t="s">
        <v>49</v>
      </c>
      <c r="G131" t="s">
        <v>40</v>
      </c>
      <c r="H131">
        <v>32400</v>
      </c>
      <c r="I131" t="s">
        <v>25</v>
      </c>
      <c r="J131">
        <v>32400</v>
      </c>
      <c r="K131" t="s">
        <v>25</v>
      </c>
      <c r="L131" t="s">
        <v>134</v>
      </c>
      <c r="M131" s="20">
        <v>46077</v>
      </c>
      <c r="N131" s="20">
        <v>46328</v>
      </c>
      <c r="O131" t="s">
        <v>135</v>
      </c>
      <c r="P131" t="s">
        <v>1005</v>
      </c>
      <c r="Q131" t="s">
        <v>562</v>
      </c>
      <c r="R131" t="s">
        <v>29</v>
      </c>
      <c r="S131" t="s">
        <v>1014</v>
      </c>
      <c r="T131" t="str">
        <f>IF(OR(F131="Project - Competitive",F131="Project - Not Competitive"),"New Business","Upsell")</f>
        <v>New Business</v>
      </c>
      <c r="U131" t="str">
        <f>TEXT(M131,"mm/aaaa")</f>
        <v>02/2026</v>
      </c>
      <c r="V131" t="str">
        <f t="shared" ref="V131:V194" si="4">IF(AND(G131="Closed Won",M131&gt;N131),M131-N131,"")</f>
        <v/>
      </c>
      <c r="W131" s="26" t="str">
        <f t="shared" ref="W131:W194" ca="1" si="5">IF(G131&lt;&gt;"Closed Won",MAX(0,TODAY()-N131),"")</f>
        <v/>
      </c>
    </row>
    <row r="132" spans="1:23">
      <c r="A132" t="s">
        <v>998</v>
      </c>
      <c r="B132" t="s">
        <v>999</v>
      </c>
      <c r="C132" t="s">
        <v>1000</v>
      </c>
      <c r="D132" t="s">
        <v>117</v>
      </c>
      <c r="E132" t="s">
        <v>1001</v>
      </c>
      <c r="F132" t="s">
        <v>82</v>
      </c>
      <c r="G132" t="s">
        <v>24</v>
      </c>
      <c r="H132">
        <v>57011.76</v>
      </c>
      <c r="I132" t="s">
        <v>25</v>
      </c>
      <c r="J132">
        <v>57011.76</v>
      </c>
      <c r="K132" t="s">
        <v>25</v>
      </c>
      <c r="L132" t="s">
        <v>134</v>
      </c>
      <c r="M132" s="20">
        <v>46156</v>
      </c>
      <c r="N132" s="20">
        <v>46126</v>
      </c>
      <c r="O132" t="s">
        <v>872</v>
      </c>
      <c r="P132" t="s">
        <v>1005</v>
      </c>
      <c r="Q132" t="s">
        <v>819</v>
      </c>
      <c r="R132" t="s">
        <v>29</v>
      </c>
      <c r="S132" t="s">
        <v>1012</v>
      </c>
      <c r="T132" t="str">
        <f>IF(OR(F132="Project - Competitive",F132="Project - Not Competitive"),"New Business","Upsell")</f>
        <v>Upsell</v>
      </c>
      <c r="U132" t="str">
        <f>TEXT(M132,"mm/aaaa")</f>
        <v>05/2026</v>
      </c>
      <c r="V132" t="str">
        <f t="shared" si="4"/>
        <v/>
      </c>
      <c r="W132" s="26">
        <f t="shared" ca="1" si="5"/>
        <v>12</v>
      </c>
    </row>
    <row r="133" spans="1:23">
      <c r="A133" t="s">
        <v>903</v>
      </c>
      <c r="B133" t="s">
        <v>173</v>
      </c>
      <c r="C133" t="s">
        <v>174</v>
      </c>
      <c r="D133" t="s">
        <v>175</v>
      </c>
      <c r="E133" t="s">
        <v>904</v>
      </c>
      <c r="F133" t="s">
        <v>82</v>
      </c>
      <c r="G133" t="s">
        <v>24</v>
      </c>
      <c r="H133">
        <v>220278.24</v>
      </c>
      <c r="I133" t="s">
        <v>25</v>
      </c>
      <c r="J133">
        <v>220278.24</v>
      </c>
      <c r="K133" t="s">
        <v>25</v>
      </c>
      <c r="L133" t="s">
        <v>134</v>
      </c>
      <c r="M133" s="20">
        <v>46142</v>
      </c>
      <c r="N133" s="20">
        <v>46177</v>
      </c>
      <c r="O133" t="s">
        <v>314</v>
      </c>
      <c r="P133" t="s">
        <v>1005</v>
      </c>
      <c r="Q133" t="s">
        <v>106</v>
      </c>
      <c r="R133" t="s">
        <v>29</v>
      </c>
      <c r="S133" t="s">
        <v>1016</v>
      </c>
      <c r="T133" t="str">
        <f>IF(OR(F133="Project - Competitive",F133="Project - Not Competitive"),"New Business","Upsell")</f>
        <v>Upsell</v>
      </c>
      <c r="U133" t="str">
        <f>TEXT(M133,"mm/aaaa")</f>
        <v>04/2026</v>
      </c>
      <c r="V133" t="str">
        <f t="shared" si="4"/>
        <v/>
      </c>
      <c r="W133" s="26">
        <f t="shared" ca="1" si="5"/>
        <v>0</v>
      </c>
    </row>
    <row r="134" spans="1:23">
      <c r="A134" t="s">
        <v>966</v>
      </c>
      <c r="B134" t="s">
        <v>967</v>
      </c>
      <c r="C134" t="s">
        <v>968</v>
      </c>
      <c r="D134" t="s">
        <v>132</v>
      </c>
      <c r="E134" t="s">
        <v>969</v>
      </c>
      <c r="F134" t="s">
        <v>39</v>
      </c>
      <c r="G134" t="s">
        <v>119</v>
      </c>
      <c r="H134">
        <v>148800</v>
      </c>
      <c r="I134" t="s">
        <v>25</v>
      </c>
      <c r="J134">
        <v>148800</v>
      </c>
      <c r="K134" t="s">
        <v>25</v>
      </c>
      <c r="L134" t="s">
        <v>134</v>
      </c>
      <c r="M134" s="20">
        <v>46028</v>
      </c>
      <c r="N134" s="20">
        <v>46299</v>
      </c>
      <c r="O134" t="s">
        <v>290</v>
      </c>
      <c r="P134" t="s">
        <v>1005</v>
      </c>
      <c r="Q134" t="s">
        <v>73</v>
      </c>
      <c r="R134" t="s">
        <v>29</v>
      </c>
      <c r="S134" t="s">
        <v>1015</v>
      </c>
      <c r="T134" t="str">
        <f>IF(OR(F134="Project - Competitive",F134="Project - Not Competitive"),"New Business","Upsell")</f>
        <v>New Business</v>
      </c>
      <c r="U134" t="str">
        <f>TEXT(M134,"mm/aaaa")</f>
        <v>01/2026</v>
      </c>
      <c r="V134" t="str">
        <f t="shared" si="4"/>
        <v/>
      </c>
      <c r="W134" s="26">
        <f t="shared" ca="1" si="5"/>
        <v>0</v>
      </c>
    </row>
    <row r="135" spans="1:23">
      <c r="A135" t="s">
        <v>129</v>
      </c>
      <c r="B135" t="s">
        <v>130</v>
      </c>
      <c r="C135" t="s">
        <v>131</v>
      </c>
      <c r="D135" t="s">
        <v>132</v>
      </c>
      <c r="E135" t="s">
        <v>133</v>
      </c>
      <c r="F135" t="s">
        <v>39</v>
      </c>
      <c r="G135" t="s">
        <v>40</v>
      </c>
      <c r="H135">
        <v>732596.04</v>
      </c>
      <c r="I135" t="s">
        <v>25</v>
      </c>
      <c r="J135">
        <v>732596.04</v>
      </c>
      <c r="K135" t="s">
        <v>25</v>
      </c>
      <c r="L135" t="s">
        <v>134</v>
      </c>
      <c r="M135" s="20">
        <v>46076</v>
      </c>
      <c r="N135" s="20">
        <v>45924</v>
      </c>
      <c r="O135" t="s">
        <v>135</v>
      </c>
      <c r="P135" t="s">
        <v>1005</v>
      </c>
      <c r="Q135" t="s">
        <v>136</v>
      </c>
      <c r="R135" t="s">
        <v>29</v>
      </c>
      <c r="S135" t="s">
        <v>1014</v>
      </c>
      <c r="T135" t="str">
        <f>IF(OR(F135="Project - Competitive",F135="Project - Not Competitive"),"New Business","Upsell")</f>
        <v>New Business</v>
      </c>
      <c r="U135" t="str">
        <f>TEXT(M135,"mm/aaaa")</f>
        <v>02/2026</v>
      </c>
      <c r="V135">
        <f t="shared" si="4"/>
        <v>152</v>
      </c>
      <c r="W135" s="26" t="str">
        <f t="shared" ca="1" si="5"/>
        <v/>
      </c>
    </row>
    <row r="136" spans="1:23">
      <c r="A136" t="s">
        <v>571</v>
      </c>
      <c r="B136" t="s">
        <v>529</v>
      </c>
      <c r="C136" t="s">
        <v>530</v>
      </c>
      <c r="D136" t="s">
        <v>175</v>
      </c>
      <c r="E136" t="s">
        <v>572</v>
      </c>
      <c r="F136" t="s">
        <v>23</v>
      </c>
      <c r="G136" t="s">
        <v>330</v>
      </c>
      <c r="H136">
        <v>68000</v>
      </c>
      <c r="I136" t="s">
        <v>25</v>
      </c>
      <c r="J136">
        <v>68000</v>
      </c>
      <c r="K136" t="s">
        <v>25</v>
      </c>
      <c r="L136" t="s">
        <v>134</v>
      </c>
      <c r="M136" s="20">
        <v>46142</v>
      </c>
      <c r="N136" s="20">
        <v>46358</v>
      </c>
      <c r="O136" t="s">
        <v>27</v>
      </c>
      <c r="P136" t="s">
        <v>1005</v>
      </c>
      <c r="Q136" t="s">
        <v>165</v>
      </c>
      <c r="R136" t="s">
        <v>29</v>
      </c>
      <c r="S136" t="s">
        <v>1012</v>
      </c>
      <c r="T136" t="str">
        <f>IF(OR(F136="Project - Competitive",F136="Project - Not Competitive"),"New Business","Upsell")</f>
        <v>Upsell</v>
      </c>
      <c r="U136" t="str">
        <f>TEXT(M136,"mm/aaaa")</f>
        <v>04/2026</v>
      </c>
      <c r="V136" t="str">
        <f t="shared" si="4"/>
        <v/>
      </c>
      <c r="W136" s="26">
        <f t="shared" ca="1" si="5"/>
        <v>0</v>
      </c>
    </row>
    <row r="137" spans="1:23">
      <c r="A137" t="s">
        <v>503</v>
      </c>
      <c r="B137" t="s">
        <v>504</v>
      </c>
      <c r="C137" t="s">
        <v>505</v>
      </c>
      <c r="D137" t="s">
        <v>95</v>
      </c>
      <c r="E137" t="s">
        <v>506</v>
      </c>
      <c r="F137" t="s">
        <v>82</v>
      </c>
      <c r="G137" t="s">
        <v>40</v>
      </c>
      <c r="H137">
        <v>664386.76</v>
      </c>
      <c r="I137" t="s">
        <v>25</v>
      </c>
      <c r="J137">
        <v>664386.76</v>
      </c>
      <c r="K137" t="s">
        <v>25</v>
      </c>
      <c r="L137" t="s">
        <v>134</v>
      </c>
      <c r="M137" s="20">
        <v>46079</v>
      </c>
      <c r="N137" s="20">
        <v>46051</v>
      </c>
      <c r="O137" t="s">
        <v>27</v>
      </c>
      <c r="P137" t="s">
        <v>1005</v>
      </c>
      <c r="Q137" t="s">
        <v>434</v>
      </c>
      <c r="R137" t="s">
        <v>29</v>
      </c>
      <c r="S137" t="s">
        <v>1012</v>
      </c>
      <c r="T137" t="str">
        <f>IF(OR(F137="Project - Competitive",F137="Project - Not Competitive"),"New Business","Upsell")</f>
        <v>Upsell</v>
      </c>
      <c r="U137" t="str">
        <f>TEXT(M137,"mm/aaaa")</f>
        <v>02/2026</v>
      </c>
      <c r="V137">
        <f t="shared" si="4"/>
        <v>28</v>
      </c>
      <c r="W137" s="26" t="str">
        <f t="shared" ca="1" si="5"/>
        <v/>
      </c>
    </row>
    <row r="138" spans="1:23" ht="14.4" customHeight="1">
      <c r="A138" t="s">
        <v>777</v>
      </c>
      <c r="B138" t="s">
        <v>778</v>
      </c>
      <c r="C138" t="s">
        <v>779</v>
      </c>
      <c r="D138" t="s">
        <v>95</v>
      </c>
      <c r="E138" t="s">
        <v>780</v>
      </c>
      <c r="F138" t="s">
        <v>82</v>
      </c>
      <c r="G138" t="s">
        <v>119</v>
      </c>
      <c r="H138">
        <v>205277.88</v>
      </c>
      <c r="I138" t="s">
        <v>25</v>
      </c>
      <c r="J138">
        <v>205277.88</v>
      </c>
      <c r="K138" t="s">
        <v>25</v>
      </c>
      <c r="L138" t="s">
        <v>134</v>
      </c>
      <c r="M138" s="20">
        <v>46173</v>
      </c>
      <c r="N138" s="20">
        <v>46100</v>
      </c>
      <c r="O138" t="s">
        <v>27</v>
      </c>
      <c r="P138" t="s">
        <v>1005</v>
      </c>
      <c r="Q138" t="s">
        <v>165</v>
      </c>
      <c r="R138" t="s">
        <v>29</v>
      </c>
      <c r="S138" t="s">
        <v>1012</v>
      </c>
      <c r="T138" t="str">
        <f>IF(OR(F138="Project - Competitive",F138="Project - Not Competitive"),"New Business","Upsell")</f>
        <v>Upsell</v>
      </c>
      <c r="U138" t="str">
        <f>TEXT(M138,"mm/aaaa")</f>
        <v>05/2026</v>
      </c>
      <c r="V138" t="str">
        <f t="shared" si="4"/>
        <v/>
      </c>
      <c r="W138" s="26">
        <f t="shared" ca="1" si="5"/>
        <v>38</v>
      </c>
    </row>
    <row r="139" spans="1:23" ht="14.4" customHeight="1">
      <c r="A139" t="s">
        <v>634</v>
      </c>
      <c r="B139" t="s">
        <v>448</v>
      </c>
      <c r="C139" t="s">
        <v>449</v>
      </c>
      <c r="D139" t="s">
        <v>328</v>
      </c>
      <c r="E139" t="s">
        <v>515</v>
      </c>
      <c r="F139" t="s">
        <v>23</v>
      </c>
      <c r="G139" t="s">
        <v>24</v>
      </c>
      <c r="H139">
        <v>601599.48</v>
      </c>
      <c r="I139" t="s">
        <v>25</v>
      </c>
      <c r="J139">
        <v>31909.8</v>
      </c>
      <c r="K139" t="s">
        <v>25</v>
      </c>
      <c r="L139" t="s">
        <v>57</v>
      </c>
      <c r="M139" s="20">
        <v>46142</v>
      </c>
      <c r="N139" s="20">
        <v>46079</v>
      </c>
      <c r="O139" t="s">
        <v>27</v>
      </c>
      <c r="P139" t="s">
        <v>1018</v>
      </c>
      <c r="Q139" t="s">
        <v>636</v>
      </c>
      <c r="R139" t="s">
        <v>29</v>
      </c>
      <c r="S139" t="s">
        <v>1012</v>
      </c>
      <c r="T139" t="str">
        <f>IF(OR(F139="Project - Competitive",F139="Project - Not Competitive"),"New Business","Upsell")</f>
        <v>Upsell</v>
      </c>
      <c r="U139" t="str">
        <f>TEXT(M139,"mm/aaaa")</f>
        <v>04/2026</v>
      </c>
      <c r="V139" t="str">
        <f t="shared" si="4"/>
        <v/>
      </c>
      <c r="W139" s="26">
        <f t="shared" ca="1" si="5"/>
        <v>59</v>
      </c>
    </row>
    <row r="140" spans="1:23" ht="14.4" customHeight="1">
      <c r="A140" t="s">
        <v>735</v>
      </c>
      <c r="B140" t="s">
        <v>736</v>
      </c>
      <c r="C140" t="s">
        <v>737</v>
      </c>
      <c r="D140" t="s">
        <v>126</v>
      </c>
      <c r="E140" t="s">
        <v>739</v>
      </c>
      <c r="F140" t="s">
        <v>23</v>
      </c>
      <c r="G140" t="s">
        <v>66</v>
      </c>
      <c r="H140">
        <v>1302107.45</v>
      </c>
      <c r="I140" t="s">
        <v>25</v>
      </c>
      <c r="J140">
        <v>265621.21000000002</v>
      </c>
      <c r="K140" t="s">
        <v>25</v>
      </c>
      <c r="L140" t="s">
        <v>57</v>
      </c>
      <c r="M140" s="20">
        <v>46173</v>
      </c>
      <c r="N140" s="20">
        <v>46329</v>
      </c>
      <c r="O140" t="s">
        <v>355</v>
      </c>
      <c r="P140" t="s">
        <v>58</v>
      </c>
      <c r="Q140" t="s">
        <v>446</v>
      </c>
      <c r="R140" t="s">
        <v>29</v>
      </c>
      <c r="S140" t="s">
        <v>1016</v>
      </c>
      <c r="T140" t="str">
        <f>IF(OR(F140="Project - Competitive",F140="Project - Not Competitive"),"New Business","Upsell")</f>
        <v>Upsell</v>
      </c>
      <c r="U140" t="str">
        <f>TEXT(M140,"mm/aaaa")</f>
        <v>05/2026</v>
      </c>
      <c r="V140" t="str">
        <f t="shared" si="4"/>
        <v/>
      </c>
      <c r="W140" s="26">
        <f t="shared" ca="1" si="5"/>
        <v>0</v>
      </c>
    </row>
    <row r="141" spans="1:23" ht="14.4" customHeight="1">
      <c r="A141" t="s">
        <v>574</v>
      </c>
      <c r="B141" t="s">
        <v>124</v>
      </c>
      <c r="C141" t="s">
        <v>125</v>
      </c>
      <c r="D141" t="s">
        <v>126</v>
      </c>
      <c r="E141" t="s">
        <v>318</v>
      </c>
      <c r="F141" t="s">
        <v>23</v>
      </c>
      <c r="G141" t="s">
        <v>119</v>
      </c>
      <c r="H141">
        <v>1429074.08</v>
      </c>
      <c r="I141" t="s">
        <v>25</v>
      </c>
      <c r="J141">
        <v>451225.8</v>
      </c>
      <c r="K141" t="s">
        <v>25</v>
      </c>
      <c r="L141" t="s">
        <v>57</v>
      </c>
      <c r="M141" s="20">
        <v>46171</v>
      </c>
      <c r="N141" s="20">
        <v>46066</v>
      </c>
      <c r="O141" t="s">
        <v>27</v>
      </c>
      <c r="P141" t="s">
        <v>1018</v>
      </c>
      <c r="Q141" t="s">
        <v>164</v>
      </c>
      <c r="R141" t="s">
        <v>29</v>
      </c>
      <c r="S141" t="s">
        <v>1012</v>
      </c>
      <c r="T141" t="str">
        <f>IF(OR(F141="Project - Competitive",F141="Project - Not Competitive"),"New Business","Upsell")</f>
        <v>Upsell</v>
      </c>
      <c r="U141" t="str">
        <f>TEXT(M141,"mm/aaaa")</f>
        <v>05/2026</v>
      </c>
      <c r="V141" t="str">
        <f t="shared" si="4"/>
        <v/>
      </c>
      <c r="W141" s="26">
        <f t="shared" ca="1" si="5"/>
        <v>72</v>
      </c>
    </row>
    <row r="142" spans="1:23" ht="14.4" customHeight="1">
      <c r="A142" t="s">
        <v>248</v>
      </c>
      <c r="B142" t="s">
        <v>249</v>
      </c>
      <c r="C142" t="s">
        <v>250</v>
      </c>
      <c r="D142" t="s">
        <v>95</v>
      </c>
      <c r="E142" t="s">
        <v>251</v>
      </c>
      <c r="F142" t="s">
        <v>82</v>
      </c>
      <c r="G142" t="s">
        <v>40</v>
      </c>
      <c r="H142">
        <v>253579.55</v>
      </c>
      <c r="I142" t="s">
        <v>25</v>
      </c>
      <c r="J142">
        <v>152442.06</v>
      </c>
      <c r="K142" t="s">
        <v>25</v>
      </c>
      <c r="L142" t="s">
        <v>57</v>
      </c>
      <c r="M142" s="20">
        <v>46053</v>
      </c>
      <c r="N142" s="20">
        <v>45975</v>
      </c>
      <c r="O142" t="s">
        <v>27</v>
      </c>
      <c r="P142" t="s">
        <v>1018</v>
      </c>
      <c r="Q142" t="s">
        <v>252</v>
      </c>
      <c r="R142" t="s">
        <v>73</v>
      </c>
      <c r="S142" t="s">
        <v>1012</v>
      </c>
      <c r="T142" t="str">
        <f>IF(OR(F142="Project - Competitive",F142="Project - Not Competitive"),"New Business","Upsell")</f>
        <v>Upsell</v>
      </c>
      <c r="U142" t="str">
        <f>TEXT(M142,"mm/aaaa")</f>
        <v>01/2026</v>
      </c>
      <c r="V142">
        <f t="shared" si="4"/>
        <v>78</v>
      </c>
      <c r="W142" s="26" t="str">
        <f t="shared" ca="1" si="5"/>
        <v/>
      </c>
    </row>
    <row r="143" spans="1:23" ht="14.4" customHeight="1">
      <c r="A143" t="s">
        <v>429</v>
      </c>
      <c r="B143" t="s">
        <v>249</v>
      </c>
      <c r="C143" t="s">
        <v>250</v>
      </c>
      <c r="D143" t="s">
        <v>95</v>
      </c>
      <c r="E143" t="s">
        <v>430</v>
      </c>
      <c r="F143" t="s">
        <v>82</v>
      </c>
      <c r="G143" t="s">
        <v>66</v>
      </c>
      <c r="H143">
        <v>2132708.1</v>
      </c>
      <c r="I143" t="s">
        <v>25</v>
      </c>
      <c r="J143">
        <v>1829304.72</v>
      </c>
      <c r="K143" t="s">
        <v>25</v>
      </c>
      <c r="L143" t="s">
        <v>57</v>
      </c>
      <c r="M143" s="20">
        <v>46173</v>
      </c>
      <c r="N143" s="20">
        <v>46357</v>
      </c>
      <c r="O143" t="s">
        <v>27</v>
      </c>
      <c r="P143" t="s">
        <v>1018</v>
      </c>
      <c r="Q143" t="s">
        <v>106</v>
      </c>
      <c r="R143" t="s">
        <v>29</v>
      </c>
      <c r="S143" t="s">
        <v>1012</v>
      </c>
      <c r="T143" t="str">
        <f>IF(OR(F143="Project - Competitive",F143="Project - Not Competitive"),"New Business","Upsell")</f>
        <v>Upsell</v>
      </c>
      <c r="U143" t="str">
        <f>TEXT(M143,"mm/aaaa")</f>
        <v>05/2026</v>
      </c>
      <c r="V143" t="str">
        <f t="shared" si="4"/>
        <v/>
      </c>
      <c r="W143" s="26">
        <f t="shared" ca="1" si="5"/>
        <v>0</v>
      </c>
    </row>
    <row r="144" spans="1:23">
      <c r="A144" t="s">
        <v>493</v>
      </c>
      <c r="B144" t="s">
        <v>494</v>
      </c>
      <c r="C144" t="s">
        <v>495</v>
      </c>
      <c r="D144" t="s">
        <v>126</v>
      </c>
      <c r="E144" t="s">
        <v>496</v>
      </c>
      <c r="F144" t="s">
        <v>23</v>
      </c>
      <c r="G144" t="s">
        <v>119</v>
      </c>
      <c r="H144">
        <v>4565828.57</v>
      </c>
      <c r="I144" t="s">
        <v>25</v>
      </c>
      <c r="J144">
        <v>629262.96</v>
      </c>
      <c r="K144" t="s">
        <v>25</v>
      </c>
      <c r="L144" t="s">
        <v>57</v>
      </c>
      <c r="M144" s="20">
        <v>46203</v>
      </c>
      <c r="N144" s="20">
        <v>46048</v>
      </c>
      <c r="O144" t="s">
        <v>27</v>
      </c>
      <c r="P144" t="s">
        <v>58</v>
      </c>
      <c r="Q144" t="s">
        <v>164</v>
      </c>
      <c r="R144" t="s">
        <v>29</v>
      </c>
      <c r="S144" t="s">
        <v>1012</v>
      </c>
      <c r="T144" t="str">
        <f>IF(OR(F144="Project - Competitive",F144="Project - Not Competitive"),"New Business","Upsell")</f>
        <v>Upsell</v>
      </c>
      <c r="U144" t="str">
        <f>TEXT(M144,"mm/aaaa")</f>
        <v>06/2026</v>
      </c>
      <c r="V144" t="str">
        <f t="shared" si="4"/>
        <v/>
      </c>
      <c r="W144" s="26">
        <f t="shared" ca="1" si="5"/>
        <v>90</v>
      </c>
    </row>
    <row r="145" spans="1:23">
      <c r="A145" t="s">
        <v>649</v>
      </c>
      <c r="B145" t="s">
        <v>650</v>
      </c>
      <c r="C145" t="s">
        <v>651</v>
      </c>
      <c r="D145" t="s">
        <v>37</v>
      </c>
      <c r="E145" t="s">
        <v>654</v>
      </c>
      <c r="F145" t="s">
        <v>39</v>
      </c>
      <c r="G145" t="s">
        <v>119</v>
      </c>
      <c r="H145">
        <v>2344909.7999999998</v>
      </c>
      <c r="I145" t="s">
        <v>25</v>
      </c>
      <c r="J145">
        <v>189158.04</v>
      </c>
      <c r="K145" t="s">
        <v>25</v>
      </c>
      <c r="L145" t="s">
        <v>57</v>
      </c>
      <c r="M145" s="20">
        <v>46171</v>
      </c>
      <c r="N145" s="20">
        <v>46080</v>
      </c>
      <c r="O145" t="s">
        <v>135</v>
      </c>
      <c r="P145" t="s">
        <v>58</v>
      </c>
      <c r="Q145" t="s">
        <v>446</v>
      </c>
      <c r="R145" t="s">
        <v>29</v>
      </c>
      <c r="S145" t="s">
        <v>1014</v>
      </c>
      <c r="T145" t="str">
        <f>IF(OR(F145="Project - Competitive",F145="Project - Not Competitive"),"New Business","Upsell")</f>
        <v>New Business</v>
      </c>
      <c r="U145" t="str">
        <f>TEXT(M145,"mm/aaaa")</f>
        <v>05/2026</v>
      </c>
      <c r="V145" t="str">
        <f t="shared" si="4"/>
        <v/>
      </c>
      <c r="W145" s="26">
        <f t="shared" ca="1" si="5"/>
        <v>58</v>
      </c>
    </row>
    <row r="146" spans="1:23">
      <c r="A146" t="s">
        <v>725</v>
      </c>
      <c r="B146" t="s">
        <v>726</v>
      </c>
      <c r="C146" t="s">
        <v>727</v>
      </c>
      <c r="D146" t="s">
        <v>203</v>
      </c>
      <c r="E146" t="s">
        <v>730</v>
      </c>
      <c r="F146" t="s">
        <v>39</v>
      </c>
      <c r="G146" t="s">
        <v>119</v>
      </c>
      <c r="H146">
        <v>894521</v>
      </c>
      <c r="I146" t="s">
        <v>25</v>
      </c>
      <c r="J146">
        <v>43952</v>
      </c>
      <c r="K146" t="s">
        <v>25</v>
      </c>
      <c r="L146" t="s">
        <v>57</v>
      </c>
      <c r="M146" s="20">
        <v>46117</v>
      </c>
      <c r="N146" s="20">
        <v>46329</v>
      </c>
      <c r="O146" t="s">
        <v>135</v>
      </c>
      <c r="P146" t="s">
        <v>1018</v>
      </c>
      <c r="Q146" t="s">
        <v>409</v>
      </c>
      <c r="R146" t="s">
        <v>29</v>
      </c>
      <c r="S146" t="s">
        <v>1014</v>
      </c>
      <c r="T146" t="str">
        <f>IF(OR(F146="Project - Competitive",F146="Project - Not Competitive"),"New Business","Upsell")</f>
        <v>New Business</v>
      </c>
      <c r="U146" t="str">
        <f>TEXT(M146,"mm/aaaa")</f>
        <v>04/2026</v>
      </c>
      <c r="V146" t="str">
        <f t="shared" si="4"/>
        <v/>
      </c>
      <c r="W146" s="26">
        <f t="shared" ca="1" si="5"/>
        <v>0</v>
      </c>
    </row>
    <row r="147" spans="1:23">
      <c r="A147" t="s">
        <v>908</v>
      </c>
      <c r="B147" t="s">
        <v>797</v>
      </c>
      <c r="C147" t="s">
        <v>798</v>
      </c>
      <c r="D147" t="s">
        <v>132</v>
      </c>
      <c r="E147" t="s">
        <v>799</v>
      </c>
      <c r="F147" t="s">
        <v>39</v>
      </c>
      <c r="G147" t="s">
        <v>119</v>
      </c>
      <c r="H147">
        <v>374000</v>
      </c>
      <c r="I147" t="s">
        <v>25</v>
      </c>
      <c r="J147">
        <v>20000</v>
      </c>
      <c r="K147" t="s">
        <v>25</v>
      </c>
      <c r="L147" t="s">
        <v>57</v>
      </c>
      <c r="M147" s="20">
        <v>46239</v>
      </c>
      <c r="N147" s="20">
        <v>46238</v>
      </c>
      <c r="O147" t="s">
        <v>290</v>
      </c>
      <c r="P147" t="s">
        <v>1018</v>
      </c>
      <c r="Q147" t="s">
        <v>165</v>
      </c>
      <c r="R147" t="s">
        <v>29</v>
      </c>
      <c r="S147" t="s">
        <v>1015</v>
      </c>
      <c r="T147" t="str">
        <f>IF(OR(F147="Project - Competitive",F147="Project - Not Competitive"),"New Business","Upsell")</f>
        <v>New Business</v>
      </c>
      <c r="U147" t="str">
        <f>TEXT(M147,"mm/aaaa")</f>
        <v>08/2026</v>
      </c>
      <c r="V147" t="str">
        <f t="shared" si="4"/>
        <v/>
      </c>
      <c r="W147" s="26">
        <f t="shared" ca="1" si="5"/>
        <v>0</v>
      </c>
    </row>
    <row r="148" spans="1:23" ht="14.4" customHeight="1">
      <c r="A148" t="s">
        <v>975</v>
      </c>
      <c r="B148" t="s">
        <v>976</v>
      </c>
      <c r="C148" t="s">
        <v>977</v>
      </c>
      <c r="D148" t="s">
        <v>203</v>
      </c>
      <c r="E148" t="s">
        <v>981</v>
      </c>
      <c r="F148" t="s">
        <v>39</v>
      </c>
      <c r="G148" t="s">
        <v>112</v>
      </c>
      <c r="H148">
        <v>0</v>
      </c>
      <c r="I148" t="s">
        <v>25</v>
      </c>
      <c r="J148">
        <v>0</v>
      </c>
      <c r="K148" t="s">
        <v>25</v>
      </c>
      <c r="L148" t="s">
        <v>57</v>
      </c>
      <c r="M148" s="20">
        <v>46155</v>
      </c>
      <c r="N148" s="20">
        <v>46125</v>
      </c>
      <c r="O148" t="s">
        <v>50</v>
      </c>
      <c r="P148" t="s">
        <v>1018</v>
      </c>
      <c r="Q148" t="s">
        <v>73</v>
      </c>
      <c r="S148" t="s">
        <v>1015</v>
      </c>
      <c r="T148" t="str">
        <f>IF(OR(F148="Project - Competitive",F148="Project - Not Competitive"),"New Business","Upsell")</f>
        <v>New Business</v>
      </c>
      <c r="U148" t="str">
        <f>TEXT(M148,"mm/aaaa")</f>
        <v>05/2026</v>
      </c>
      <c r="V148" t="str">
        <f t="shared" si="4"/>
        <v/>
      </c>
      <c r="W148" s="26">
        <f t="shared" ca="1" si="5"/>
        <v>13</v>
      </c>
    </row>
    <row r="149" spans="1:23">
      <c r="A149" t="s">
        <v>52</v>
      </c>
      <c r="B149" t="s">
        <v>53</v>
      </c>
      <c r="C149" t="s">
        <v>54</v>
      </c>
      <c r="D149" t="s">
        <v>55</v>
      </c>
      <c r="E149" t="s">
        <v>56</v>
      </c>
      <c r="F149" t="s">
        <v>23</v>
      </c>
      <c r="G149" t="s">
        <v>40</v>
      </c>
      <c r="H149">
        <v>32226.34</v>
      </c>
      <c r="I149" t="s">
        <v>25</v>
      </c>
      <c r="J149">
        <v>32226.34</v>
      </c>
      <c r="K149" t="s">
        <v>25</v>
      </c>
      <c r="L149" t="s">
        <v>57</v>
      </c>
      <c r="M149" s="20">
        <v>46036</v>
      </c>
      <c r="N149" s="20">
        <v>45877</v>
      </c>
      <c r="O149" t="s">
        <v>27</v>
      </c>
      <c r="P149" t="s">
        <v>58</v>
      </c>
      <c r="Q149" t="s">
        <v>59</v>
      </c>
      <c r="R149" t="s">
        <v>60</v>
      </c>
      <c r="S149" t="s">
        <v>1012</v>
      </c>
      <c r="T149" t="str">
        <f>IF(OR(F149="Project - Competitive",F149="Project - Not Competitive"),"New Business","Upsell")</f>
        <v>Upsell</v>
      </c>
      <c r="U149" t="str">
        <f>TEXT(M149,"mm/aaaa")</f>
        <v>01/2026</v>
      </c>
      <c r="V149">
        <f t="shared" si="4"/>
        <v>159</v>
      </c>
      <c r="W149" s="26" t="str">
        <f t="shared" ca="1" si="5"/>
        <v/>
      </c>
    </row>
    <row r="150" spans="1:23">
      <c r="A150" t="s">
        <v>241</v>
      </c>
      <c r="B150" t="s">
        <v>242</v>
      </c>
      <c r="C150" t="s">
        <v>243</v>
      </c>
      <c r="D150" t="s">
        <v>37</v>
      </c>
      <c r="E150" t="s">
        <v>246</v>
      </c>
      <c r="F150" t="s">
        <v>39</v>
      </c>
      <c r="G150" t="s">
        <v>40</v>
      </c>
      <c r="H150">
        <v>589446.40999999992</v>
      </c>
      <c r="I150" t="s">
        <v>25</v>
      </c>
      <c r="J150">
        <v>41309.81</v>
      </c>
      <c r="K150" t="s">
        <v>25</v>
      </c>
      <c r="L150" t="s">
        <v>57</v>
      </c>
      <c r="M150" s="20">
        <v>46080</v>
      </c>
      <c r="N150" s="20">
        <v>45972</v>
      </c>
      <c r="O150" t="s">
        <v>245</v>
      </c>
      <c r="P150" t="s">
        <v>58</v>
      </c>
      <c r="Q150" t="s">
        <v>88</v>
      </c>
      <c r="R150" t="s">
        <v>29</v>
      </c>
      <c r="S150" t="s">
        <v>1014</v>
      </c>
      <c r="T150" t="str">
        <f>IF(OR(F150="Project - Competitive",F150="Project - Not Competitive"),"New Business","Upsell")</f>
        <v>New Business</v>
      </c>
      <c r="U150" t="str">
        <f>TEXT(M150,"mm/aaaa")</f>
        <v>02/2026</v>
      </c>
      <c r="V150">
        <f t="shared" si="4"/>
        <v>108</v>
      </c>
      <c r="W150" s="26" t="str">
        <f t="shared" ca="1" si="5"/>
        <v/>
      </c>
    </row>
    <row r="151" spans="1:23">
      <c r="A151" t="s">
        <v>627</v>
      </c>
      <c r="B151" t="s">
        <v>628</v>
      </c>
      <c r="C151" t="s">
        <v>629</v>
      </c>
      <c r="D151" t="s">
        <v>47</v>
      </c>
      <c r="E151" t="s">
        <v>630</v>
      </c>
      <c r="F151" t="s">
        <v>39</v>
      </c>
      <c r="G151" t="s">
        <v>66</v>
      </c>
      <c r="H151">
        <v>1000704</v>
      </c>
      <c r="I151" t="s">
        <v>25</v>
      </c>
      <c r="J151">
        <v>433188</v>
      </c>
      <c r="K151" t="s">
        <v>25</v>
      </c>
      <c r="L151" t="s">
        <v>57</v>
      </c>
      <c r="M151" s="20">
        <v>46117</v>
      </c>
      <c r="N151" s="20">
        <v>46076</v>
      </c>
      <c r="O151" t="s">
        <v>554</v>
      </c>
      <c r="P151" t="s">
        <v>1018</v>
      </c>
      <c r="Q151" t="s">
        <v>136</v>
      </c>
      <c r="R151" t="s">
        <v>29</v>
      </c>
      <c r="S151" t="s">
        <v>1012</v>
      </c>
      <c r="T151" t="str">
        <f>IF(OR(F151="Project - Competitive",F151="Project - Not Competitive"),"New Business","Upsell")</f>
        <v>New Business</v>
      </c>
      <c r="U151" t="str">
        <f>TEXT(M151,"mm/aaaa")</f>
        <v>04/2026</v>
      </c>
      <c r="V151" t="str">
        <f t="shared" si="4"/>
        <v/>
      </c>
      <c r="W151" s="26">
        <f t="shared" ca="1" si="5"/>
        <v>62</v>
      </c>
    </row>
    <row r="152" spans="1:23">
      <c r="A152" t="s">
        <v>627</v>
      </c>
      <c r="B152" t="s">
        <v>628</v>
      </c>
      <c r="C152" t="s">
        <v>629</v>
      </c>
      <c r="D152" t="s">
        <v>47</v>
      </c>
      <c r="E152" t="s">
        <v>630</v>
      </c>
      <c r="F152" t="s">
        <v>39</v>
      </c>
      <c r="G152" t="s">
        <v>66</v>
      </c>
      <c r="H152">
        <v>1000704</v>
      </c>
      <c r="I152" t="s">
        <v>25</v>
      </c>
      <c r="J152">
        <v>567516</v>
      </c>
      <c r="K152" t="s">
        <v>25</v>
      </c>
      <c r="L152" t="s">
        <v>57</v>
      </c>
      <c r="M152" s="20">
        <v>46117</v>
      </c>
      <c r="N152" s="20">
        <v>46076</v>
      </c>
      <c r="O152" t="s">
        <v>554</v>
      </c>
      <c r="P152" t="s">
        <v>1018</v>
      </c>
      <c r="Q152" t="s">
        <v>136</v>
      </c>
      <c r="R152" t="s">
        <v>29</v>
      </c>
      <c r="S152" t="s">
        <v>1012</v>
      </c>
      <c r="T152" t="str">
        <f>IF(OR(F152="Project - Competitive",F152="Project - Not Competitive"),"New Business","Upsell")</f>
        <v>New Business</v>
      </c>
      <c r="U152" t="str">
        <f>TEXT(M152,"mm/aaaa")</f>
        <v>04/2026</v>
      </c>
      <c r="V152" t="str">
        <f t="shared" si="4"/>
        <v/>
      </c>
      <c r="W152" s="26">
        <f t="shared" ca="1" si="5"/>
        <v>62</v>
      </c>
    </row>
    <row r="153" spans="1:23">
      <c r="A153" t="s">
        <v>384</v>
      </c>
      <c r="B153" t="s">
        <v>385</v>
      </c>
      <c r="C153" t="s">
        <v>386</v>
      </c>
      <c r="D153" t="s">
        <v>21</v>
      </c>
      <c r="E153" t="s">
        <v>387</v>
      </c>
      <c r="F153" t="s">
        <v>23</v>
      </c>
      <c r="G153" t="s">
        <v>40</v>
      </c>
      <c r="H153">
        <v>1818447</v>
      </c>
      <c r="I153" t="s">
        <v>25</v>
      </c>
      <c r="J153">
        <v>76079.89</v>
      </c>
      <c r="K153" t="s">
        <v>25</v>
      </c>
      <c r="L153" t="s">
        <v>57</v>
      </c>
      <c r="M153" s="20">
        <v>46105</v>
      </c>
      <c r="N153" s="20">
        <v>46006</v>
      </c>
      <c r="O153" t="s">
        <v>27</v>
      </c>
      <c r="P153" t="s">
        <v>1018</v>
      </c>
      <c r="Q153" t="s">
        <v>356</v>
      </c>
      <c r="R153" t="s">
        <v>106</v>
      </c>
      <c r="S153" t="s">
        <v>1012</v>
      </c>
      <c r="T153" t="str">
        <f>IF(OR(F153="Project - Competitive",F153="Project - Not Competitive"),"New Business","Upsell")</f>
        <v>Upsell</v>
      </c>
      <c r="U153" t="str">
        <f>TEXT(M153,"mm/aaaa")</f>
        <v>03/2026</v>
      </c>
      <c r="V153">
        <f t="shared" si="4"/>
        <v>99</v>
      </c>
      <c r="W153" s="26" t="str">
        <f t="shared" ca="1" si="5"/>
        <v/>
      </c>
    </row>
    <row r="154" spans="1:23">
      <c r="A154" t="s">
        <v>762</v>
      </c>
      <c r="B154" t="s">
        <v>385</v>
      </c>
      <c r="C154" t="s">
        <v>386</v>
      </c>
      <c r="D154" t="s">
        <v>21</v>
      </c>
      <c r="E154" t="s">
        <v>660</v>
      </c>
      <c r="F154" t="s">
        <v>23</v>
      </c>
      <c r="G154" t="s">
        <v>66</v>
      </c>
      <c r="H154">
        <v>296000</v>
      </c>
      <c r="I154" t="s">
        <v>25</v>
      </c>
      <c r="J154">
        <v>20000</v>
      </c>
      <c r="K154" t="s">
        <v>25</v>
      </c>
      <c r="L154" t="s">
        <v>57</v>
      </c>
      <c r="M154" s="20">
        <v>46173</v>
      </c>
      <c r="N154" s="20">
        <v>46095</v>
      </c>
      <c r="O154" t="s">
        <v>27</v>
      </c>
      <c r="P154" t="s">
        <v>1018</v>
      </c>
      <c r="Q154" t="s">
        <v>472</v>
      </c>
      <c r="R154" t="s">
        <v>122</v>
      </c>
      <c r="S154" t="s">
        <v>1012</v>
      </c>
      <c r="T154" t="str">
        <f>IF(OR(F154="Project - Competitive",F154="Project - Not Competitive"),"New Business","Upsell")</f>
        <v>Upsell</v>
      </c>
      <c r="U154" t="str">
        <f>TEXT(M154,"mm/aaaa")</f>
        <v>05/2026</v>
      </c>
      <c r="V154" t="str">
        <f t="shared" si="4"/>
        <v/>
      </c>
      <c r="W154" s="26">
        <f t="shared" ca="1" si="5"/>
        <v>43</v>
      </c>
    </row>
    <row r="155" spans="1:23">
      <c r="A155" t="s">
        <v>310</v>
      </c>
      <c r="B155" t="s">
        <v>311</v>
      </c>
      <c r="C155" t="s">
        <v>312</v>
      </c>
      <c r="D155" t="s">
        <v>117</v>
      </c>
      <c r="E155" t="s">
        <v>316</v>
      </c>
      <c r="F155" t="s">
        <v>82</v>
      </c>
      <c r="G155" t="s">
        <v>40</v>
      </c>
      <c r="H155">
        <v>517703.16</v>
      </c>
      <c r="I155" t="s">
        <v>25</v>
      </c>
      <c r="J155">
        <v>96838.56</v>
      </c>
      <c r="K155" t="s">
        <v>25</v>
      </c>
      <c r="L155" t="s">
        <v>57</v>
      </c>
      <c r="M155" s="20">
        <v>46104</v>
      </c>
      <c r="N155" s="20">
        <v>45988</v>
      </c>
      <c r="O155" t="s">
        <v>314</v>
      </c>
      <c r="P155" t="s">
        <v>58</v>
      </c>
      <c r="Q155" t="s">
        <v>315</v>
      </c>
      <c r="R155" t="s">
        <v>29</v>
      </c>
      <c r="S155" t="s">
        <v>1016</v>
      </c>
      <c r="T155" t="str">
        <f>IF(OR(F155="Project - Competitive",F155="Project - Not Competitive"),"New Business","Upsell")</f>
        <v>Upsell</v>
      </c>
      <c r="U155" t="str">
        <f>TEXT(M155,"mm/aaaa")</f>
        <v>03/2026</v>
      </c>
      <c r="V155">
        <f t="shared" si="4"/>
        <v>116</v>
      </c>
      <c r="W155" s="26" t="str">
        <f t="shared" ca="1" si="5"/>
        <v/>
      </c>
    </row>
    <row r="156" spans="1:23">
      <c r="A156" t="s">
        <v>785</v>
      </c>
      <c r="B156" t="s">
        <v>311</v>
      </c>
      <c r="C156" t="s">
        <v>312</v>
      </c>
      <c r="D156" t="s">
        <v>117</v>
      </c>
      <c r="E156" t="s">
        <v>313</v>
      </c>
      <c r="F156" t="s">
        <v>82</v>
      </c>
      <c r="G156" t="s">
        <v>40</v>
      </c>
      <c r="H156">
        <v>486654.96</v>
      </c>
      <c r="I156" t="s">
        <v>25</v>
      </c>
      <c r="J156">
        <v>96850.32</v>
      </c>
      <c r="K156" t="s">
        <v>25</v>
      </c>
      <c r="L156" t="s">
        <v>57</v>
      </c>
      <c r="M156" s="20">
        <v>46101</v>
      </c>
      <c r="N156" s="20">
        <v>46101</v>
      </c>
      <c r="O156" t="s">
        <v>27</v>
      </c>
      <c r="P156" t="s">
        <v>58</v>
      </c>
      <c r="Q156" t="s">
        <v>409</v>
      </c>
      <c r="R156" t="s">
        <v>29</v>
      </c>
      <c r="S156" t="s">
        <v>1012</v>
      </c>
      <c r="T156" t="str">
        <f>IF(OR(F156="Project - Competitive",F156="Project - Not Competitive"),"New Business","Upsell")</f>
        <v>Upsell</v>
      </c>
      <c r="U156" t="str">
        <f>TEXT(M156,"mm/aaaa")</f>
        <v>03/2026</v>
      </c>
      <c r="V156" t="str">
        <f t="shared" si="4"/>
        <v/>
      </c>
      <c r="W156" s="26" t="str">
        <f t="shared" ca="1" si="5"/>
        <v/>
      </c>
    </row>
    <row r="157" spans="1:23">
      <c r="A157" t="s">
        <v>408</v>
      </c>
      <c r="B157" t="s">
        <v>311</v>
      </c>
      <c r="C157" t="s">
        <v>312</v>
      </c>
      <c r="D157" t="s">
        <v>117</v>
      </c>
      <c r="E157" t="s">
        <v>313</v>
      </c>
      <c r="F157" t="s">
        <v>23</v>
      </c>
      <c r="G157" t="s">
        <v>40</v>
      </c>
      <c r="H157">
        <v>7943.76</v>
      </c>
      <c r="I157" t="s">
        <v>25</v>
      </c>
      <c r="J157">
        <v>7943.76</v>
      </c>
      <c r="K157" t="s">
        <v>25</v>
      </c>
      <c r="L157" t="s">
        <v>57</v>
      </c>
      <c r="M157" s="20">
        <v>46101</v>
      </c>
      <c r="N157" s="20">
        <v>46014</v>
      </c>
      <c r="O157" t="s">
        <v>27</v>
      </c>
      <c r="P157" t="s">
        <v>58</v>
      </c>
      <c r="Q157" t="s">
        <v>409</v>
      </c>
      <c r="R157" t="s">
        <v>29</v>
      </c>
      <c r="S157" t="s">
        <v>1012</v>
      </c>
      <c r="T157" t="str">
        <f>IF(OR(F157="Project - Competitive",F157="Project - Not Competitive"),"New Business","Upsell")</f>
        <v>Upsell</v>
      </c>
      <c r="U157" t="str">
        <f>TEXT(M157,"mm/aaaa")</f>
        <v>03/2026</v>
      </c>
      <c r="V157">
        <f t="shared" si="4"/>
        <v>87</v>
      </c>
      <c r="W157" s="26" t="str">
        <f t="shared" ca="1" si="5"/>
        <v/>
      </c>
    </row>
    <row r="158" spans="1:23">
      <c r="A158" t="s">
        <v>196</v>
      </c>
      <c r="B158" t="s">
        <v>197</v>
      </c>
      <c r="C158" t="s">
        <v>1062</v>
      </c>
      <c r="D158" t="s">
        <v>110</v>
      </c>
      <c r="E158" t="s">
        <v>1043</v>
      </c>
      <c r="F158" t="s">
        <v>23</v>
      </c>
      <c r="G158" t="s">
        <v>40</v>
      </c>
      <c r="H158">
        <v>1653085.7999999998</v>
      </c>
      <c r="I158" t="s">
        <v>25</v>
      </c>
      <c r="J158">
        <v>359170.32</v>
      </c>
      <c r="K158" t="s">
        <v>25</v>
      </c>
      <c r="L158" t="s">
        <v>57</v>
      </c>
      <c r="M158" s="20">
        <v>46125</v>
      </c>
      <c r="N158" s="20">
        <v>45954</v>
      </c>
      <c r="O158" t="s">
        <v>27</v>
      </c>
      <c r="P158" t="s">
        <v>1018</v>
      </c>
      <c r="Q158" t="s">
        <v>73</v>
      </c>
      <c r="R158" t="s">
        <v>198</v>
      </c>
      <c r="S158" t="s">
        <v>1012</v>
      </c>
      <c r="T158" t="str">
        <f>IF(OR(F158="Project - Competitive",F158="Project - Not Competitive"),"New Business","Upsell")</f>
        <v>Upsell</v>
      </c>
      <c r="U158" t="str">
        <f>TEXT(M158,"mm/aaaa")</f>
        <v>04/2026</v>
      </c>
      <c r="V158">
        <f t="shared" si="4"/>
        <v>171</v>
      </c>
      <c r="W158" s="26" t="str">
        <f t="shared" ca="1" si="5"/>
        <v/>
      </c>
    </row>
    <row r="159" spans="1:23" ht="14.4" customHeight="1">
      <c r="A159" t="s">
        <v>452</v>
      </c>
      <c r="B159" t="s">
        <v>453</v>
      </c>
      <c r="C159" t="s">
        <v>454</v>
      </c>
      <c r="D159" t="s">
        <v>47</v>
      </c>
      <c r="E159" t="s">
        <v>458</v>
      </c>
      <c r="F159" t="s">
        <v>49</v>
      </c>
      <c r="G159" t="s">
        <v>24</v>
      </c>
      <c r="H159">
        <v>1410000</v>
      </c>
      <c r="I159" t="s">
        <v>25</v>
      </c>
      <c r="J159">
        <v>234000</v>
      </c>
      <c r="K159" t="s">
        <v>25</v>
      </c>
      <c r="L159" t="s">
        <v>57</v>
      </c>
      <c r="M159" s="20">
        <v>46125</v>
      </c>
      <c r="N159" s="20">
        <v>46038</v>
      </c>
      <c r="O159" t="s">
        <v>135</v>
      </c>
      <c r="P159" t="s">
        <v>58</v>
      </c>
      <c r="Q159" t="s">
        <v>356</v>
      </c>
      <c r="R159" t="s">
        <v>29</v>
      </c>
      <c r="S159" t="s">
        <v>1014</v>
      </c>
      <c r="T159" t="str">
        <f>IF(OR(F159="Project - Competitive",F159="Project - Not Competitive"),"New Business","Upsell")</f>
        <v>New Business</v>
      </c>
      <c r="U159" t="str">
        <f>TEXT(M159,"mm/aaaa")</f>
        <v>04/2026</v>
      </c>
      <c r="V159" t="str">
        <f t="shared" si="4"/>
        <v/>
      </c>
      <c r="W159" s="26">
        <f t="shared" ca="1" si="5"/>
        <v>100</v>
      </c>
    </row>
    <row r="160" spans="1:23">
      <c r="A160" t="s">
        <v>740</v>
      </c>
      <c r="B160" t="s">
        <v>741</v>
      </c>
      <c r="C160" t="s">
        <v>742</v>
      </c>
      <c r="D160" t="s">
        <v>126</v>
      </c>
      <c r="E160" t="s">
        <v>744</v>
      </c>
      <c r="F160" t="s">
        <v>23</v>
      </c>
      <c r="G160" t="s">
        <v>66</v>
      </c>
      <c r="H160">
        <v>585915.63</v>
      </c>
      <c r="I160" t="s">
        <v>25</v>
      </c>
      <c r="J160">
        <v>119522.87</v>
      </c>
      <c r="K160" t="s">
        <v>25</v>
      </c>
      <c r="L160" t="s">
        <v>57</v>
      </c>
      <c r="M160" s="20">
        <v>46173</v>
      </c>
      <c r="N160" s="20">
        <v>46329</v>
      </c>
      <c r="O160" t="s">
        <v>355</v>
      </c>
      <c r="P160" t="s">
        <v>58</v>
      </c>
      <c r="Q160" t="s">
        <v>446</v>
      </c>
      <c r="R160" t="s">
        <v>29</v>
      </c>
      <c r="S160" t="s">
        <v>1016</v>
      </c>
      <c r="T160" t="str">
        <f>IF(OR(F160="Project - Competitive",F160="Project - Not Competitive"),"New Business","Upsell")</f>
        <v>Upsell</v>
      </c>
      <c r="U160" t="str">
        <f>TEXT(M160,"mm/aaaa")</f>
        <v>05/2026</v>
      </c>
      <c r="V160" t="str">
        <f t="shared" si="4"/>
        <v/>
      </c>
      <c r="W160" s="26">
        <f t="shared" ca="1" si="5"/>
        <v>0</v>
      </c>
    </row>
    <row r="161" spans="1:23">
      <c r="A161" t="s">
        <v>359</v>
      </c>
      <c r="B161" t="s">
        <v>231</v>
      </c>
      <c r="C161" t="s">
        <v>232</v>
      </c>
      <c r="D161" t="s">
        <v>102</v>
      </c>
      <c r="E161" t="s">
        <v>360</v>
      </c>
      <c r="F161" t="s">
        <v>23</v>
      </c>
      <c r="G161" t="s">
        <v>40</v>
      </c>
      <c r="H161">
        <v>358921.88</v>
      </c>
      <c r="I161" t="s">
        <v>25</v>
      </c>
      <c r="J161">
        <v>53600</v>
      </c>
      <c r="K161" t="s">
        <v>25</v>
      </c>
      <c r="L161" t="s">
        <v>57</v>
      </c>
      <c r="M161" s="20">
        <v>46036</v>
      </c>
      <c r="N161" s="20">
        <v>45759</v>
      </c>
      <c r="O161" t="s">
        <v>27</v>
      </c>
      <c r="P161" t="s">
        <v>1018</v>
      </c>
      <c r="Q161" t="s">
        <v>59</v>
      </c>
      <c r="R161" t="s">
        <v>29</v>
      </c>
      <c r="S161" t="s">
        <v>1012</v>
      </c>
      <c r="T161" t="str">
        <f>IF(OR(F161="Project - Competitive",F161="Project - Not Competitive"),"New Business","Upsell")</f>
        <v>Upsell</v>
      </c>
      <c r="U161" t="str">
        <f>TEXT(M161,"mm/aaaa")</f>
        <v>01/2026</v>
      </c>
      <c r="V161">
        <f t="shared" si="4"/>
        <v>277</v>
      </c>
      <c r="W161" s="26" t="str">
        <f t="shared" ca="1" si="5"/>
        <v/>
      </c>
    </row>
    <row r="162" spans="1:23" ht="14.4" customHeight="1">
      <c r="A162" t="s">
        <v>369</v>
      </c>
      <c r="B162" t="s">
        <v>217</v>
      </c>
      <c r="C162" t="s">
        <v>218</v>
      </c>
      <c r="D162" t="s">
        <v>55</v>
      </c>
      <c r="E162" t="s">
        <v>277</v>
      </c>
      <c r="F162" t="s">
        <v>82</v>
      </c>
      <c r="G162" t="s">
        <v>40</v>
      </c>
      <c r="H162">
        <v>1546078.56</v>
      </c>
      <c r="I162" t="s">
        <v>25</v>
      </c>
      <c r="J162">
        <v>183485.76</v>
      </c>
      <c r="K162" t="s">
        <v>25</v>
      </c>
      <c r="L162" t="s">
        <v>57</v>
      </c>
      <c r="M162" s="20">
        <v>46359</v>
      </c>
      <c r="N162" s="20">
        <v>45881</v>
      </c>
      <c r="O162" t="s">
        <v>27</v>
      </c>
      <c r="P162" t="s">
        <v>1018</v>
      </c>
      <c r="Q162" t="s">
        <v>164</v>
      </c>
      <c r="R162" t="s">
        <v>29</v>
      </c>
      <c r="S162" t="s">
        <v>1012</v>
      </c>
      <c r="T162" t="str">
        <f>IF(OR(F162="Project - Competitive",F162="Project - Not Competitive"),"New Business","Upsell")</f>
        <v>Upsell</v>
      </c>
      <c r="U162" t="str">
        <f>TEXT(M162,"mm/aaaa")</f>
        <v>12/2026</v>
      </c>
      <c r="V162">
        <f t="shared" si="4"/>
        <v>478</v>
      </c>
      <c r="W162" s="26" t="str">
        <f t="shared" ca="1" si="5"/>
        <v/>
      </c>
    </row>
    <row r="163" spans="1:23" ht="14.4" customHeight="1">
      <c r="A163" t="s">
        <v>351</v>
      </c>
      <c r="B163" t="s">
        <v>352</v>
      </c>
      <c r="C163" t="s">
        <v>353</v>
      </c>
      <c r="D163" t="s">
        <v>47</v>
      </c>
      <c r="E163" t="s">
        <v>358</v>
      </c>
      <c r="F163" t="s">
        <v>39</v>
      </c>
      <c r="G163" t="s">
        <v>24</v>
      </c>
      <c r="H163">
        <v>993642.36</v>
      </c>
      <c r="I163" t="s">
        <v>25</v>
      </c>
      <c r="J163">
        <v>57000</v>
      </c>
      <c r="K163" t="s">
        <v>25</v>
      </c>
      <c r="L163" t="s">
        <v>57</v>
      </c>
      <c r="M163" s="20">
        <v>46299</v>
      </c>
      <c r="N163" s="20">
        <v>45728</v>
      </c>
      <c r="O163" t="s">
        <v>355</v>
      </c>
      <c r="P163" t="s">
        <v>58</v>
      </c>
      <c r="Q163" t="s">
        <v>356</v>
      </c>
      <c r="R163" t="s">
        <v>29</v>
      </c>
      <c r="S163" t="s">
        <v>1016</v>
      </c>
      <c r="T163" t="str">
        <f>IF(OR(F163="Project - Competitive",F163="Project - Not Competitive"),"New Business","Upsell")</f>
        <v>New Business</v>
      </c>
      <c r="U163" t="str">
        <f>TEXT(M163,"mm/aaaa")</f>
        <v>10/2026</v>
      </c>
      <c r="V163" t="str">
        <f t="shared" si="4"/>
        <v/>
      </c>
      <c r="W163" s="26">
        <f t="shared" ca="1" si="5"/>
        <v>410</v>
      </c>
    </row>
    <row r="164" spans="1:23" ht="14.4" customHeight="1">
      <c r="A164" t="s">
        <v>747</v>
      </c>
      <c r="B164" t="s">
        <v>482</v>
      </c>
      <c r="C164" t="s">
        <v>483</v>
      </c>
      <c r="D164" t="s">
        <v>55</v>
      </c>
      <c r="E164" t="s">
        <v>484</v>
      </c>
      <c r="F164" t="s">
        <v>23</v>
      </c>
      <c r="G164" t="s">
        <v>119</v>
      </c>
      <c r="H164">
        <v>3363176.34</v>
      </c>
      <c r="I164" t="s">
        <v>25</v>
      </c>
      <c r="J164">
        <v>3363176.34</v>
      </c>
      <c r="K164" t="s">
        <v>25</v>
      </c>
      <c r="L164" t="s">
        <v>57</v>
      </c>
      <c r="M164" s="20">
        <v>46203</v>
      </c>
      <c r="N164" s="20">
        <v>46359</v>
      </c>
      <c r="O164" t="s">
        <v>27</v>
      </c>
      <c r="P164" t="s">
        <v>1018</v>
      </c>
      <c r="Q164" t="s">
        <v>461</v>
      </c>
      <c r="R164" t="s">
        <v>29</v>
      </c>
      <c r="S164" t="s">
        <v>1012</v>
      </c>
      <c r="T164" t="str">
        <f>IF(OR(F164="Project - Competitive",F164="Project - Not Competitive"),"New Business","Upsell")</f>
        <v>Upsell</v>
      </c>
      <c r="U164" t="str">
        <f>TEXT(M164,"mm/aaaa")</f>
        <v>06/2026</v>
      </c>
      <c r="V164" t="str">
        <f t="shared" si="4"/>
        <v/>
      </c>
      <c r="W164" s="26">
        <f t="shared" ca="1" si="5"/>
        <v>0</v>
      </c>
    </row>
    <row r="165" spans="1:23" ht="14.4" customHeight="1">
      <c r="A165" t="s">
        <v>687</v>
      </c>
      <c r="B165" t="s">
        <v>688</v>
      </c>
      <c r="C165" t="s">
        <v>689</v>
      </c>
      <c r="D165" t="s">
        <v>328</v>
      </c>
      <c r="E165" t="s">
        <v>692</v>
      </c>
      <c r="F165" t="s">
        <v>82</v>
      </c>
      <c r="G165" t="s">
        <v>330</v>
      </c>
      <c r="H165">
        <v>809225.34</v>
      </c>
      <c r="I165" t="s">
        <v>25</v>
      </c>
      <c r="J165">
        <v>109005.84</v>
      </c>
      <c r="K165" t="s">
        <v>25</v>
      </c>
      <c r="L165" t="s">
        <v>57</v>
      </c>
      <c r="M165" s="20">
        <v>46173</v>
      </c>
      <c r="N165" s="20">
        <v>46176</v>
      </c>
      <c r="O165" t="s">
        <v>27</v>
      </c>
      <c r="P165" t="s">
        <v>1018</v>
      </c>
      <c r="Q165" t="s">
        <v>691</v>
      </c>
      <c r="R165" t="s">
        <v>122</v>
      </c>
      <c r="S165" t="s">
        <v>1012</v>
      </c>
      <c r="T165" t="str">
        <f>IF(OR(F165="Project - Competitive",F165="Project - Not Competitive"),"New Business","Upsell")</f>
        <v>Upsell</v>
      </c>
      <c r="U165" t="str">
        <f>TEXT(M165,"mm/aaaa")</f>
        <v>05/2026</v>
      </c>
      <c r="V165" t="str">
        <f t="shared" si="4"/>
        <v/>
      </c>
      <c r="W165" s="26">
        <f t="shared" ca="1" si="5"/>
        <v>0</v>
      </c>
    </row>
    <row r="166" spans="1:23" ht="14.4" customHeight="1">
      <c r="A166" t="s">
        <v>377</v>
      </c>
      <c r="B166" t="s">
        <v>378</v>
      </c>
      <c r="C166" t="s">
        <v>379</v>
      </c>
      <c r="D166" t="s">
        <v>95</v>
      </c>
      <c r="E166" t="s">
        <v>479</v>
      </c>
      <c r="F166" t="s">
        <v>23</v>
      </c>
      <c r="G166" t="s">
        <v>24</v>
      </c>
      <c r="H166">
        <v>10992.1</v>
      </c>
      <c r="I166" t="s">
        <v>25</v>
      </c>
      <c r="J166">
        <v>10992.1</v>
      </c>
      <c r="K166" t="s">
        <v>25</v>
      </c>
      <c r="L166" t="s">
        <v>57</v>
      </c>
      <c r="M166" s="20">
        <v>46141</v>
      </c>
      <c r="N166" s="20">
        <v>45912</v>
      </c>
      <c r="O166" t="s">
        <v>27</v>
      </c>
      <c r="P166" t="s">
        <v>58</v>
      </c>
      <c r="Q166" t="s">
        <v>381</v>
      </c>
      <c r="R166" t="s">
        <v>73</v>
      </c>
      <c r="S166" t="s">
        <v>1012</v>
      </c>
      <c r="T166" t="str">
        <f>IF(OR(F166="Project - Competitive",F166="Project - Not Competitive"),"New Business","Upsell")</f>
        <v>Upsell</v>
      </c>
      <c r="U166" t="str">
        <f>TEXT(M166,"mm/aaaa")</f>
        <v>04/2026</v>
      </c>
      <c r="V166" t="str">
        <f t="shared" si="4"/>
        <v/>
      </c>
      <c r="W166" s="26">
        <f t="shared" ca="1" si="5"/>
        <v>226</v>
      </c>
    </row>
    <row r="167" spans="1:23">
      <c r="A167" t="s">
        <v>300</v>
      </c>
      <c r="B167" t="s">
        <v>301</v>
      </c>
      <c r="C167" t="s">
        <v>1064</v>
      </c>
      <c r="D167" t="s">
        <v>203</v>
      </c>
      <c r="E167" t="s">
        <v>1051</v>
      </c>
      <c r="F167" t="s">
        <v>39</v>
      </c>
      <c r="G167" t="s">
        <v>66</v>
      </c>
      <c r="H167">
        <v>6208423.2000000002</v>
      </c>
      <c r="I167" t="s">
        <v>25</v>
      </c>
      <c r="J167">
        <v>412673.64</v>
      </c>
      <c r="K167" t="s">
        <v>25</v>
      </c>
      <c r="L167" t="s">
        <v>57</v>
      </c>
      <c r="M167" s="20">
        <v>46155</v>
      </c>
      <c r="N167" s="20">
        <v>45987</v>
      </c>
      <c r="O167" t="s">
        <v>50</v>
      </c>
      <c r="P167" t="s">
        <v>58</v>
      </c>
      <c r="Q167" t="s">
        <v>97</v>
      </c>
      <c r="R167" t="s">
        <v>29</v>
      </c>
      <c r="S167" t="s">
        <v>1015</v>
      </c>
      <c r="T167" t="str">
        <f>IF(OR(F167="Project - Competitive",F167="Project - Not Competitive"),"New Business","Upsell")</f>
        <v>New Business</v>
      </c>
      <c r="U167" t="str">
        <f>TEXT(M167,"mm/aaaa")</f>
        <v>05/2026</v>
      </c>
      <c r="V167" t="str">
        <f t="shared" si="4"/>
        <v/>
      </c>
      <c r="W167" s="26">
        <f t="shared" ca="1" si="5"/>
        <v>151</v>
      </c>
    </row>
    <row r="168" spans="1:23">
      <c r="A168" t="s">
        <v>220</v>
      </c>
      <c r="B168" t="s">
        <v>221</v>
      </c>
      <c r="C168" t="s">
        <v>222</v>
      </c>
      <c r="D168" t="s">
        <v>47</v>
      </c>
      <c r="E168" t="s">
        <v>223</v>
      </c>
      <c r="F168" t="s">
        <v>39</v>
      </c>
      <c r="G168" t="s">
        <v>66</v>
      </c>
      <c r="H168">
        <v>286464</v>
      </c>
      <c r="I168" t="s">
        <v>25</v>
      </c>
      <c r="J168">
        <v>12000</v>
      </c>
      <c r="K168" t="s">
        <v>25</v>
      </c>
      <c r="L168" t="s">
        <v>57</v>
      </c>
      <c r="M168" s="20">
        <v>46202</v>
      </c>
      <c r="N168" s="20">
        <v>45727</v>
      </c>
      <c r="O168" t="s">
        <v>224</v>
      </c>
      <c r="P168" t="s">
        <v>1018</v>
      </c>
      <c r="Q168" t="s">
        <v>225</v>
      </c>
      <c r="R168" t="s">
        <v>226</v>
      </c>
      <c r="S168" t="s">
        <v>1013</v>
      </c>
      <c r="T168" t="str">
        <f>IF(OR(F168="Project - Competitive",F168="Project - Not Competitive"),"New Business","Upsell")</f>
        <v>New Business</v>
      </c>
      <c r="U168" t="str">
        <f>TEXT(M168,"mm/aaaa")</f>
        <v>06/2026</v>
      </c>
      <c r="V168" t="str">
        <f t="shared" si="4"/>
        <v/>
      </c>
      <c r="W168" s="26">
        <f t="shared" ca="1" si="5"/>
        <v>411</v>
      </c>
    </row>
    <row r="169" spans="1:23">
      <c r="A169" t="s">
        <v>813</v>
      </c>
      <c r="B169" t="s">
        <v>517</v>
      </c>
      <c r="C169" t="s">
        <v>518</v>
      </c>
      <c r="D169" t="s">
        <v>102</v>
      </c>
      <c r="E169" t="s">
        <v>814</v>
      </c>
      <c r="F169" t="s">
        <v>82</v>
      </c>
      <c r="G169" t="s">
        <v>24</v>
      </c>
      <c r="H169">
        <v>74000</v>
      </c>
      <c r="I169" t="s">
        <v>25</v>
      </c>
      <c r="J169">
        <v>74000</v>
      </c>
      <c r="K169" t="s">
        <v>25</v>
      </c>
      <c r="L169" t="s">
        <v>57</v>
      </c>
      <c r="M169" s="20">
        <v>46142</v>
      </c>
      <c r="N169" s="20">
        <v>46107</v>
      </c>
      <c r="O169" t="s">
        <v>27</v>
      </c>
      <c r="P169" t="s">
        <v>1018</v>
      </c>
      <c r="Q169" t="s">
        <v>472</v>
      </c>
      <c r="R169" t="s">
        <v>122</v>
      </c>
      <c r="S169" t="s">
        <v>1012</v>
      </c>
      <c r="T169" t="str">
        <f>IF(OR(F169="Project - Competitive",F169="Project - Not Competitive"),"New Business","Upsell")</f>
        <v>Upsell</v>
      </c>
      <c r="U169" t="str">
        <f>TEXT(M169,"mm/aaaa")</f>
        <v>04/2026</v>
      </c>
      <c r="V169" t="str">
        <f t="shared" si="4"/>
        <v/>
      </c>
      <c r="W169" s="26">
        <f t="shared" ca="1" si="5"/>
        <v>31</v>
      </c>
    </row>
    <row r="170" spans="1:23">
      <c r="A170" t="s">
        <v>340</v>
      </c>
      <c r="B170" t="s">
        <v>341</v>
      </c>
      <c r="C170" t="s">
        <v>342</v>
      </c>
      <c r="D170" t="s">
        <v>147</v>
      </c>
      <c r="E170" t="s">
        <v>348</v>
      </c>
      <c r="F170" t="s">
        <v>39</v>
      </c>
      <c r="G170" t="s">
        <v>66</v>
      </c>
      <c r="H170">
        <v>2627267.83</v>
      </c>
      <c r="I170" t="s">
        <v>25</v>
      </c>
      <c r="J170">
        <v>21120.19</v>
      </c>
      <c r="K170" t="s">
        <v>25</v>
      </c>
      <c r="L170" t="s">
        <v>57</v>
      </c>
      <c r="M170" s="20">
        <v>46331</v>
      </c>
      <c r="N170" s="20">
        <v>45669</v>
      </c>
      <c r="O170" t="s">
        <v>290</v>
      </c>
      <c r="P170" t="s">
        <v>58</v>
      </c>
      <c r="Q170" t="s">
        <v>344</v>
      </c>
      <c r="R170" t="s">
        <v>29</v>
      </c>
      <c r="S170" t="s">
        <v>1015</v>
      </c>
      <c r="T170" t="str">
        <f>IF(OR(F170="Project - Competitive",F170="Project - Not Competitive"),"New Business","Upsell")</f>
        <v>New Business</v>
      </c>
      <c r="U170" t="str">
        <f>TEXT(M170,"mm/aaaa")</f>
        <v>11/2026</v>
      </c>
      <c r="V170" t="str">
        <f t="shared" si="4"/>
        <v/>
      </c>
      <c r="W170" s="26">
        <f t="shared" ca="1" si="5"/>
        <v>469</v>
      </c>
    </row>
    <row r="171" spans="1:23">
      <c r="A171" t="s">
        <v>157</v>
      </c>
      <c r="B171" t="s">
        <v>19</v>
      </c>
      <c r="C171" t="s">
        <v>20</v>
      </c>
      <c r="D171" t="s">
        <v>21</v>
      </c>
      <c r="E171" t="s">
        <v>75</v>
      </c>
      <c r="F171" t="s">
        <v>82</v>
      </c>
      <c r="G171" t="s">
        <v>40</v>
      </c>
      <c r="H171">
        <v>4551785.4000000004</v>
      </c>
      <c r="I171" t="s">
        <v>25</v>
      </c>
      <c r="J171">
        <v>956103.36</v>
      </c>
      <c r="K171" t="s">
        <v>25</v>
      </c>
      <c r="L171" t="s">
        <v>57</v>
      </c>
      <c r="M171" s="20">
        <v>46099</v>
      </c>
      <c r="N171" s="20">
        <v>45726</v>
      </c>
      <c r="O171" t="s">
        <v>27</v>
      </c>
      <c r="P171" t="s">
        <v>1018</v>
      </c>
      <c r="Q171" t="s">
        <v>159</v>
      </c>
      <c r="R171" t="s">
        <v>29</v>
      </c>
      <c r="S171" t="s">
        <v>1012</v>
      </c>
      <c r="T171" t="str">
        <f>IF(OR(F171="Project - Competitive",F171="Project - Not Competitive"),"New Business","Upsell")</f>
        <v>Upsell</v>
      </c>
      <c r="U171" t="str">
        <f>TEXT(M171,"mm/aaaa")</f>
        <v>03/2026</v>
      </c>
      <c r="V171">
        <f t="shared" si="4"/>
        <v>373</v>
      </c>
      <c r="W171" s="26" t="str">
        <f t="shared" ca="1" si="5"/>
        <v/>
      </c>
    </row>
    <row r="172" spans="1:23">
      <c r="A172" t="s">
        <v>157</v>
      </c>
      <c r="B172" t="s">
        <v>19</v>
      </c>
      <c r="C172" t="s">
        <v>20</v>
      </c>
      <c r="D172" t="s">
        <v>21</v>
      </c>
      <c r="E172" t="s">
        <v>90</v>
      </c>
      <c r="F172" t="s">
        <v>82</v>
      </c>
      <c r="G172" t="s">
        <v>40</v>
      </c>
      <c r="H172">
        <v>4551785.4000000004</v>
      </c>
      <c r="I172" t="s">
        <v>25</v>
      </c>
      <c r="J172">
        <v>804870.24</v>
      </c>
      <c r="K172" t="s">
        <v>25</v>
      </c>
      <c r="L172" t="s">
        <v>57</v>
      </c>
      <c r="M172" s="20">
        <v>46099</v>
      </c>
      <c r="N172" s="20">
        <v>45726</v>
      </c>
      <c r="O172" t="s">
        <v>27</v>
      </c>
      <c r="P172" t="s">
        <v>1018</v>
      </c>
      <c r="Q172" t="s">
        <v>159</v>
      </c>
      <c r="R172" t="s">
        <v>29</v>
      </c>
      <c r="S172" t="s">
        <v>1012</v>
      </c>
      <c r="T172" t="str">
        <f>IF(OR(F172="Project - Competitive",F172="Project - Not Competitive"),"New Business","Upsell")</f>
        <v>Upsell</v>
      </c>
      <c r="U172" t="str">
        <f>TEXT(M172,"mm/aaaa")</f>
        <v>03/2026</v>
      </c>
      <c r="V172">
        <f t="shared" si="4"/>
        <v>373</v>
      </c>
      <c r="W172" s="26" t="str">
        <f t="shared" ca="1" si="5"/>
        <v/>
      </c>
    </row>
    <row r="173" spans="1:23">
      <c r="A173" t="s">
        <v>157</v>
      </c>
      <c r="B173" t="s">
        <v>19</v>
      </c>
      <c r="C173" t="s">
        <v>20</v>
      </c>
      <c r="D173" t="s">
        <v>21</v>
      </c>
      <c r="E173" t="s">
        <v>158</v>
      </c>
      <c r="F173" t="s">
        <v>82</v>
      </c>
      <c r="G173" t="s">
        <v>40</v>
      </c>
      <c r="H173">
        <v>4551785.4000000004</v>
      </c>
      <c r="I173" t="s">
        <v>25</v>
      </c>
      <c r="J173">
        <v>2790811.8</v>
      </c>
      <c r="K173" t="s">
        <v>25</v>
      </c>
      <c r="L173" t="s">
        <v>57</v>
      </c>
      <c r="M173" s="20">
        <v>46099</v>
      </c>
      <c r="N173" s="20">
        <v>45726</v>
      </c>
      <c r="O173" t="s">
        <v>27</v>
      </c>
      <c r="P173" t="s">
        <v>1018</v>
      </c>
      <c r="Q173" t="s">
        <v>159</v>
      </c>
      <c r="R173" t="s">
        <v>29</v>
      </c>
      <c r="S173" t="s">
        <v>1012</v>
      </c>
      <c r="T173" t="str">
        <f>IF(OR(F173="Project - Competitive",F173="Project - Not Competitive"),"New Business","Upsell")</f>
        <v>Upsell</v>
      </c>
      <c r="U173" t="str">
        <f>TEXT(M173,"mm/aaaa")</f>
        <v>03/2026</v>
      </c>
      <c r="V173">
        <f t="shared" si="4"/>
        <v>373</v>
      </c>
      <c r="W173" s="26" t="str">
        <f t="shared" ca="1" si="5"/>
        <v/>
      </c>
    </row>
    <row r="174" spans="1:23">
      <c r="A174" t="s">
        <v>363</v>
      </c>
      <c r="B174" t="s">
        <v>19</v>
      </c>
      <c r="C174" t="s">
        <v>20</v>
      </c>
      <c r="D174" t="s">
        <v>21</v>
      </c>
      <c r="E174" t="s">
        <v>22</v>
      </c>
      <c r="F174" t="s">
        <v>82</v>
      </c>
      <c r="G174" t="s">
        <v>24</v>
      </c>
      <c r="H174">
        <v>4235159.34</v>
      </c>
      <c r="I174" t="s">
        <v>25</v>
      </c>
      <c r="J174">
        <v>210987.53</v>
      </c>
      <c r="K174" t="s">
        <v>25</v>
      </c>
      <c r="L174" t="s">
        <v>57</v>
      </c>
      <c r="M174" s="20">
        <v>46129</v>
      </c>
      <c r="N174" s="20">
        <v>45881</v>
      </c>
      <c r="O174" t="s">
        <v>27</v>
      </c>
      <c r="P174" t="s">
        <v>1018</v>
      </c>
      <c r="Q174" t="s">
        <v>156</v>
      </c>
      <c r="R174" t="s">
        <v>122</v>
      </c>
      <c r="S174" t="s">
        <v>1012</v>
      </c>
      <c r="T174" t="str">
        <f>IF(OR(F174="Project - Competitive",F174="Project - Not Competitive"),"New Business","Upsell")</f>
        <v>Upsell</v>
      </c>
      <c r="U174" t="str">
        <f>TEXT(M174,"mm/aaaa")</f>
        <v>04/2026</v>
      </c>
      <c r="V174" t="str">
        <f t="shared" si="4"/>
        <v/>
      </c>
      <c r="W174" s="26">
        <f t="shared" ca="1" si="5"/>
        <v>257</v>
      </c>
    </row>
    <row r="175" spans="1:23">
      <c r="A175" t="s">
        <v>89</v>
      </c>
      <c r="B175" t="s">
        <v>19</v>
      </c>
      <c r="C175" t="s">
        <v>20</v>
      </c>
      <c r="D175" t="s">
        <v>21</v>
      </c>
      <c r="E175" t="s">
        <v>512</v>
      </c>
      <c r="F175" t="s">
        <v>23</v>
      </c>
      <c r="G175" t="s">
        <v>40</v>
      </c>
      <c r="H175">
        <v>33442.82</v>
      </c>
      <c r="I175" t="s">
        <v>25</v>
      </c>
      <c r="J175">
        <v>33442.82</v>
      </c>
      <c r="K175" t="s">
        <v>25</v>
      </c>
      <c r="L175" t="s">
        <v>57</v>
      </c>
      <c r="M175" s="20">
        <v>46235</v>
      </c>
      <c r="N175" s="20">
        <v>45897</v>
      </c>
      <c r="O175" t="s">
        <v>27</v>
      </c>
      <c r="P175" t="s">
        <v>1018</v>
      </c>
      <c r="Q175" t="s">
        <v>91</v>
      </c>
      <c r="R175" t="s">
        <v>73</v>
      </c>
      <c r="S175" t="s">
        <v>1012</v>
      </c>
      <c r="T175" t="str">
        <f>IF(OR(F175="Project - Competitive",F175="Project - Not Competitive"),"New Business","Upsell")</f>
        <v>Upsell</v>
      </c>
      <c r="U175" t="str">
        <f>TEXT(M175,"mm/aaaa")</f>
        <v>08/2026</v>
      </c>
      <c r="V175">
        <f t="shared" si="4"/>
        <v>338</v>
      </c>
      <c r="W175" s="26" t="str">
        <f t="shared" ca="1" si="5"/>
        <v/>
      </c>
    </row>
    <row r="176" spans="1:23">
      <c r="A176" t="s">
        <v>264</v>
      </c>
      <c r="B176" t="s">
        <v>138</v>
      </c>
      <c r="C176" t="s">
        <v>139</v>
      </c>
      <c r="D176" t="s">
        <v>70</v>
      </c>
      <c r="E176" t="s">
        <v>140</v>
      </c>
      <c r="F176" t="s">
        <v>23</v>
      </c>
      <c r="G176" t="s">
        <v>40</v>
      </c>
      <c r="H176">
        <v>2518147.83</v>
      </c>
      <c r="I176" t="s">
        <v>25</v>
      </c>
      <c r="J176">
        <v>466000</v>
      </c>
      <c r="K176" t="s">
        <v>25</v>
      </c>
      <c r="L176" t="s">
        <v>57</v>
      </c>
      <c r="M176" s="20">
        <v>46357</v>
      </c>
      <c r="N176" s="20">
        <v>45975</v>
      </c>
      <c r="O176" t="s">
        <v>27</v>
      </c>
      <c r="P176" t="s">
        <v>1018</v>
      </c>
      <c r="Q176" t="s">
        <v>51</v>
      </c>
      <c r="R176" t="s">
        <v>29</v>
      </c>
      <c r="S176" t="s">
        <v>1012</v>
      </c>
      <c r="T176" t="str">
        <f>IF(OR(F176="Project - Competitive",F176="Project - Not Competitive"),"New Business","Upsell")</f>
        <v>Upsell</v>
      </c>
      <c r="U176" t="str">
        <f>TEXT(M176,"mm/aaaa")</f>
        <v>12/2026</v>
      </c>
      <c r="V176">
        <f t="shared" si="4"/>
        <v>382</v>
      </c>
      <c r="W176" s="26" t="str">
        <f t="shared" ca="1" si="5"/>
        <v/>
      </c>
    </row>
    <row r="177" spans="1:23">
      <c r="A177" t="s">
        <v>264</v>
      </c>
      <c r="B177" t="s">
        <v>138</v>
      </c>
      <c r="C177" t="s">
        <v>139</v>
      </c>
      <c r="D177" t="s">
        <v>70</v>
      </c>
      <c r="E177" t="s">
        <v>140</v>
      </c>
      <c r="F177" t="s">
        <v>23</v>
      </c>
      <c r="G177" t="s">
        <v>40</v>
      </c>
      <c r="H177">
        <v>2518147.83</v>
      </c>
      <c r="I177" t="s">
        <v>25</v>
      </c>
      <c r="J177">
        <v>180000</v>
      </c>
      <c r="K177" t="s">
        <v>25</v>
      </c>
      <c r="L177" t="s">
        <v>57</v>
      </c>
      <c r="M177" s="20">
        <v>46357</v>
      </c>
      <c r="N177" s="20">
        <v>45975</v>
      </c>
      <c r="O177" t="s">
        <v>27</v>
      </c>
      <c r="P177" t="s">
        <v>1018</v>
      </c>
      <c r="Q177" t="s">
        <v>51</v>
      </c>
      <c r="R177" t="s">
        <v>29</v>
      </c>
      <c r="S177" t="s">
        <v>1012</v>
      </c>
      <c r="T177" t="str">
        <f>IF(OR(F177="Project - Competitive",F177="Project - Not Competitive"),"New Business","Upsell")</f>
        <v>Upsell</v>
      </c>
      <c r="U177" t="str">
        <f>TEXT(M177,"mm/aaaa")</f>
        <v>12/2026</v>
      </c>
      <c r="V177">
        <f t="shared" si="4"/>
        <v>382</v>
      </c>
      <c r="W177" s="26" t="str">
        <f t="shared" ca="1" si="5"/>
        <v/>
      </c>
    </row>
    <row r="178" spans="1:23">
      <c r="A178" t="s">
        <v>137</v>
      </c>
      <c r="B178" t="s">
        <v>138</v>
      </c>
      <c r="C178" t="s">
        <v>139</v>
      </c>
      <c r="D178" t="s">
        <v>70</v>
      </c>
      <c r="E178" t="s">
        <v>214</v>
      </c>
      <c r="F178" t="s">
        <v>23</v>
      </c>
      <c r="G178" t="s">
        <v>40</v>
      </c>
      <c r="H178">
        <v>1157087.3999999999</v>
      </c>
      <c r="I178" t="s">
        <v>25</v>
      </c>
      <c r="J178">
        <v>230265</v>
      </c>
      <c r="K178" t="s">
        <v>25</v>
      </c>
      <c r="L178" t="s">
        <v>57</v>
      </c>
      <c r="M178" s="20">
        <v>46143</v>
      </c>
      <c r="N178" s="20">
        <v>45925</v>
      </c>
      <c r="O178" t="s">
        <v>27</v>
      </c>
      <c r="P178" t="s">
        <v>1018</v>
      </c>
      <c r="Q178" t="s">
        <v>141</v>
      </c>
      <c r="R178" t="s">
        <v>29</v>
      </c>
      <c r="S178" t="s">
        <v>1012</v>
      </c>
      <c r="T178" t="str">
        <f>IF(OR(F178="Project - Competitive",F178="Project - Not Competitive"),"New Business","Upsell")</f>
        <v>Upsell</v>
      </c>
      <c r="U178" t="str">
        <f>TEXT(M178,"mm/aaaa")</f>
        <v>05/2026</v>
      </c>
      <c r="V178">
        <f t="shared" si="4"/>
        <v>218</v>
      </c>
      <c r="W178" s="26" t="str">
        <f t="shared" ca="1" si="5"/>
        <v/>
      </c>
    </row>
    <row r="179" spans="1:23">
      <c r="A179" t="s">
        <v>391</v>
      </c>
      <c r="B179" t="s">
        <v>138</v>
      </c>
      <c r="C179" t="s">
        <v>139</v>
      </c>
      <c r="D179" t="s">
        <v>70</v>
      </c>
      <c r="E179" t="s">
        <v>265</v>
      </c>
      <c r="F179" t="s">
        <v>82</v>
      </c>
      <c r="G179" t="s">
        <v>40</v>
      </c>
      <c r="H179">
        <v>6770269.9100000001</v>
      </c>
      <c r="I179" t="s">
        <v>25</v>
      </c>
      <c r="J179">
        <v>1144634.99</v>
      </c>
      <c r="K179" t="s">
        <v>25</v>
      </c>
      <c r="L179" t="s">
        <v>57</v>
      </c>
      <c r="M179" s="20">
        <v>46049</v>
      </c>
      <c r="N179" s="20">
        <v>46006</v>
      </c>
      <c r="O179" t="s">
        <v>27</v>
      </c>
      <c r="P179" t="s">
        <v>1018</v>
      </c>
      <c r="Q179" t="s">
        <v>306</v>
      </c>
      <c r="R179" t="s">
        <v>29</v>
      </c>
      <c r="S179" t="s">
        <v>1012</v>
      </c>
      <c r="T179" t="str">
        <f>IF(OR(F179="Project - Competitive",F179="Project - Not Competitive"),"New Business","Upsell")</f>
        <v>Upsell</v>
      </c>
      <c r="U179" t="str">
        <f>TEXT(M179,"mm/aaaa")</f>
        <v>01/2026</v>
      </c>
      <c r="V179">
        <f t="shared" si="4"/>
        <v>43</v>
      </c>
      <c r="W179" s="26" t="str">
        <f t="shared" ca="1" si="5"/>
        <v/>
      </c>
    </row>
    <row r="180" spans="1:23">
      <c r="A180" t="s">
        <v>213</v>
      </c>
      <c r="B180" t="s">
        <v>138</v>
      </c>
      <c r="C180" t="s">
        <v>139</v>
      </c>
      <c r="D180" t="s">
        <v>70</v>
      </c>
      <c r="E180" t="s">
        <v>477</v>
      </c>
      <c r="F180" t="s">
        <v>23</v>
      </c>
      <c r="G180" t="s">
        <v>40</v>
      </c>
      <c r="H180">
        <v>722935.92</v>
      </c>
      <c r="I180" t="s">
        <v>25</v>
      </c>
      <c r="J180">
        <v>115132.8</v>
      </c>
      <c r="K180" t="s">
        <v>25</v>
      </c>
      <c r="L180" t="s">
        <v>57</v>
      </c>
      <c r="M180" s="20">
        <v>46143</v>
      </c>
      <c r="N180" s="20">
        <v>45959</v>
      </c>
      <c r="O180" t="s">
        <v>27</v>
      </c>
      <c r="P180" t="s">
        <v>1018</v>
      </c>
      <c r="Q180" t="s">
        <v>141</v>
      </c>
      <c r="R180" t="s">
        <v>29</v>
      </c>
      <c r="S180" t="s">
        <v>1012</v>
      </c>
      <c r="T180" t="str">
        <f>IF(OR(F180="Project - Competitive",F180="Project - Not Competitive"),"New Business","Upsell")</f>
        <v>Upsell</v>
      </c>
      <c r="U180" t="str">
        <f>TEXT(M180,"mm/aaaa")</f>
        <v>05/2026</v>
      </c>
      <c r="V180">
        <f t="shared" si="4"/>
        <v>184</v>
      </c>
      <c r="W180" s="26" t="str">
        <f t="shared" ca="1" si="5"/>
        <v/>
      </c>
    </row>
    <row r="181" spans="1:23">
      <c r="A181" t="s">
        <v>917</v>
      </c>
      <c r="B181" t="s">
        <v>138</v>
      </c>
      <c r="C181" t="s">
        <v>139</v>
      </c>
      <c r="D181" t="s">
        <v>70</v>
      </c>
      <c r="E181" t="s">
        <v>918</v>
      </c>
      <c r="F181" t="s">
        <v>23</v>
      </c>
      <c r="G181" t="s">
        <v>535</v>
      </c>
      <c r="H181">
        <v>0</v>
      </c>
      <c r="I181" t="s">
        <v>25</v>
      </c>
      <c r="J181">
        <v>0</v>
      </c>
      <c r="K181" t="s">
        <v>25</v>
      </c>
      <c r="L181" t="s">
        <v>57</v>
      </c>
      <c r="M181" s="20">
        <v>46203</v>
      </c>
      <c r="N181" s="20">
        <v>46269</v>
      </c>
      <c r="O181" t="s">
        <v>314</v>
      </c>
      <c r="P181" t="s">
        <v>1018</v>
      </c>
      <c r="Q181" t="s">
        <v>324</v>
      </c>
      <c r="R181" t="s">
        <v>29</v>
      </c>
      <c r="S181" t="s">
        <v>1016</v>
      </c>
      <c r="T181" t="str">
        <f>IF(OR(F181="Project - Competitive",F181="Project - Not Competitive"),"New Business","Upsell")</f>
        <v>Upsell</v>
      </c>
      <c r="U181" t="str">
        <f>TEXT(M181,"mm/aaaa")</f>
        <v>06/2026</v>
      </c>
      <c r="V181" t="str">
        <f t="shared" si="4"/>
        <v/>
      </c>
      <c r="W181" s="26">
        <f t="shared" ca="1" si="5"/>
        <v>0</v>
      </c>
    </row>
    <row r="182" spans="1:23">
      <c r="A182" t="s">
        <v>166</v>
      </c>
      <c r="B182" t="s">
        <v>167</v>
      </c>
      <c r="C182" t="s">
        <v>168</v>
      </c>
      <c r="D182" t="s">
        <v>117</v>
      </c>
      <c r="E182" t="s">
        <v>171</v>
      </c>
      <c r="F182" t="s">
        <v>82</v>
      </c>
      <c r="G182" t="s">
        <v>40</v>
      </c>
      <c r="H182">
        <v>1758176.04</v>
      </c>
      <c r="I182" t="s">
        <v>25</v>
      </c>
      <c r="J182">
        <v>194700</v>
      </c>
      <c r="K182" t="s">
        <v>25</v>
      </c>
      <c r="L182" t="s">
        <v>57</v>
      </c>
      <c r="M182" s="20">
        <v>46268</v>
      </c>
      <c r="N182" s="20">
        <v>45910</v>
      </c>
      <c r="O182" t="s">
        <v>27</v>
      </c>
      <c r="P182" t="s">
        <v>58</v>
      </c>
      <c r="Q182" t="s">
        <v>105</v>
      </c>
      <c r="R182" t="s">
        <v>29</v>
      </c>
      <c r="S182" t="s">
        <v>1012</v>
      </c>
      <c r="T182" t="str">
        <f>IF(OR(F182="Project - Competitive",F182="Project - Not Competitive"),"New Business","Upsell")</f>
        <v>Upsell</v>
      </c>
      <c r="U182" t="str">
        <f>TEXT(M182,"mm/aaaa")</f>
        <v>09/2026</v>
      </c>
      <c r="V182">
        <f t="shared" si="4"/>
        <v>358</v>
      </c>
      <c r="W182" s="26" t="str">
        <f t="shared" ca="1" si="5"/>
        <v/>
      </c>
    </row>
    <row r="183" spans="1:23">
      <c r="A183" t="s">
        <v>550</v>
      </c>
      <c r="B183" t="s">
        <v>551</v>
      </c>
      <c r="C183" t="s">
        <v>552</v>
      </c>
      <c r="D183" t="s">
        <v>37</v>
      </c>
      <c r="E183" t="s">
        <v>556</v>
      </c>
      <c r="F183" t="s">
        <v>39</v>
      </c>
      <c r="G183" t="s">
        <v>119</v>
      </c>
      <c r="H183">
        <v>863424.8</v>
      </c>
      <c r="I183" t="s">
        <v>25</v>
      </c>
      <c r="J183">
        <v>376021.9</v>
      </c>
      <c r="K183" t="s">
        <v>25</v>
      </c>
      <c r="L183" t="s">
        <v>57</v>
      </c>
      <c r="M183" s="20">
        <v>46027</v>
      </c>
      <c r="N183" s="20">
        <v>46328</v>
      </c>
      <c r="O183" t="s">
        <v>554</v>
      </c>
      <c r="P183" t="s">
        <v>1018</v>
      </c>
      <c r="Q183" t="s">
        <v>555</v>
      </c>
      <c r="R183" t="s">
        <v>198</v>
      </c>
      <c r="S183" t="s">
        <v>1012</v>
      </c>
      <c r="T183" t="str">
        <f>IF(OR(F183="Project - Competitive",F183="Project - Not Competitive"),"New Business","Upsell")</f>
        <v>New Business</v>
      </c>
      <c r="U183" t="str">
        <f>TEXT(M183,"mm/aaaa")</f>
        <v>01/2026</v>
      </c>
      <c r="V183" t="str">
        <f t="shared" si="4"/>
        <v/>
      </c>
      <c r="W183" s="26">
        <f t="shared" ca="1" si="5"/>
        <v>0</v>
      </c>
    </row>
    <row r="184" spans="1:23">
      <c r="A184" t="s">
        <v>932</v>
      </c>
      <c r="B184" t="s">
        <v>321</v>
      </c>
      <c r="C184" t="s">
        <v>322</v>
      </c>
      <c r="D184" t="s">
        <v>95</v>
      </c>
      <c r="E184" t="s">
        <v>323</v>
      </c>
      <c r="F184" t="s">
        <v>23</v>
      </c>
      <c r="G184" t="s">
        <v>535</v>
      </c>
      <c r="H184">
        <v>2163037.2000000002</v>
      </c>
      <c r="I184" t="s">
        <v>25</v>
      </c>
      <c r="J184">
        <v>2163037.2000000002</v>
      </c>
      <c r="K184" t="s">
        <v>25</v>
      </c>
      <c r="L184" t="s">
        <v>57</v>
      </c>
      <c r="M184" s="20">
        <v>46203</v>
      </c>
      <c r="N184" s="20">
        <v>46299</v>
      </c>
      <c r="O184" t="s">
        <v>314</v>
      </c>
      <c r="P184" t="s">
        <v>1018</v>
      </c>
      <c r="Q184" t="s">
        <v>165</v>
      </c>
      <c r="R184" t="s">
        <v>29</v>
      </c>
      <c r="S184" t="s">
        <v>1016</v>
      </c>
      <c r="T184" t="str">
        <f>IF(OR(F184="Project - Competitive",F184="Project - Not Competitive"),"New Business","Upsell")</f>
        <v>Upsell</v>
      </c>
      <c r="U184" t="str">
        <f>TEXT(M184,"mm/aaaa")</f>
        <v>06/2026</v>
      </c>
      <c r="V184" t="str">
        <f t="shared" si="4"/>
        <v/>
      </c>
      <c r="W184" s="26">
        <f t="shared" ca="1" si="5"/>
        <v>0</v>
      </c>
    </row>
    <row r="185" spans="1:23" ht="14.4" customHeight="1">
      <c r="A185" t="s">
        <v>320</v>
      </c>
      <c r="B185" t="s">
        <v>321</v>
      </c>
      <c r="C185" t="s">
        <v>322</v>
      </c>
      <c r="D185" t="s">
        <v>95</v>
      </c>
      <c r="E185" t="s">
        <v>323</v>
      </c>
      <c r="F185" t="s">
        <v>23</v>
      </c>
      <c r="G185" t="s">
        <v>40</v>
      </c>
      <c r="H185">
        <v>294537.34999999998</v>
      </c>
      <c r="I185" t="s">
        <v>25</v>
      </c>
      <c r="J185">
        <v>294537.34999999998</v>
      </c>
      <c r="K185" t="s">
        <v>25</v>
      </c>
      <c r="L185" t="s">
        <v>57</v>
      </c>
      <c r="M185" s="20">
        <v>46052</v>
      </c>
      <c r="N185" s="20">
        <v>45989</v>
      </c>
      <c r="O185" t="s">
        <v>27</v>
      </c>
      <c r="P185" t="s">
        <v>1018</v>
      </c>
      <c r="Q185" t="s">
        <v>195</v>
      </c>
      <c r="R185" t="s">
        <v>324</v>
      </c>
      <c r="S185" t="s">
        <v>1012</v>
      </c>
      <c r="T185" t="str">
        <f>IF(OR(F185="Project - Competitive",F185="Project - Not Competitive"),"New Business","Upsell")</f>
        <v>Upsell</v>
      </c>
      <c r="U185" t="str">
        <f>TEXT(M185,"mm/aaaa")</f>
        <v>01/2026</v>
      </c>
      <c r="V185">
        <f t="shared" si="4"/>
        <v>63</v>
      </c>
      <c r="W185" s="26" t="str">
        <f t="shared" ca="1" si="5"/>
        <v/>
      </c>
    </row>
    <row r="186" spans="1:23">
      <c r="A186" t="s">
        <v>362</v>
      </c>
      <c r="B186" t="s">
        <v>321</v>
      </c>
      <c r="C186" t="s">
        <v>322</v>
      </c>
      <c r="D186" t="s">
        <v>95</v>
      </c>
      <c r="E186" t="s">
        <v>933</v>
      </c>
      <c r="F186" t="s">
        <v>23</v>
      </c>
      <c r="G186" t="s">
        <v>40</v>
      </c>
      <c r="H186">
        <v>38183.32</v>
      </c>
      <c r="I186" t="s">
        <v>25</v>
      </c>
      <c r="J186">
        <v>38183.32</v>
      </c>
      <c r="K186" t="s">
        <v>25</v>
      </c>
      <c r="L186" t="s">
        <v>57</v>
      </c>
      <c r="M186" s="20">
        <v>46052</v>
      </c>
      <c r="N186" s="20">
        <v>45789</v>
      </c>
      <c r="O186" t="s">
        <v>27</v>
      </c>
      <c r="P186" t="s">
        <v>1018</v>
      </c>
      <c r="Q186" t="s">
        <v>195</v>
      </c>
      <c r="R186" t="s">
        <v>60</v>
      </c>
      <c r="S186" t="s">
        <v>1012</v>
      </c>
      <c r="T186" t="str">
        <f>IF(OR(F186="Project - Competitive",F186="Project - Not Competitive"),"New Business","Upsell")</f>
        <v>Upsell</v>
      </c>
      <c r="U186" t="str">
        <f>TEXT(M186,"mm/aaaa")</f>
        <v>01/2026</v>
      </c>
      <c r="V186">
        <f t="shared" si="4"/>
        <v>263</v>
      </c>
      <c r="W186" s="26" t="str">
        <f t="shared" ca="1" si="5"/>
        <v/>
      </c>
    </row>
    <row r="187" spans="1:23">
      <c r="A187" t="s">
        <v>666</v>
      </c>
      <c r="B187" t="s">
        <v>667</v>
      </c>
      <c r="C187" t="s">
        <v>668</v>
      </c>
      <c r="D187" t="s">
        <v>37</v>
      </c>
      <c r="E187" t="s">
        <v>670</v>
      </c>
      <c r="F187" t="s">
        <v>39</v>
      </c>
      <c r="G187" t="s">
        <v>119</v>
      </c>
      <c r="H187">
        <v>2133050.04</v>
      </c>
      <c r="I187" t="s">
        <v>25</v>
      </c>
      <c r="J187">
        <v>189158.04</v>
      </c>
      <c r="K187" t="s">
        <v>25</v>
      </c>
      <c r="L187" t="s">
        <v>57</v>
      </c>
      <c r="M187" s="20">
        <v>46171</v>
      </c>
      <c r="N187" s="20">
        <v>46084</v>
      </c>
      <c r="O187" t="s">
        <v>135</v>
      </c>
      <c r="P187" t="s">
        <v>58</v>
      </c>
      <c r="Q187" t="s">
        <v>446</v>
      </c>
      <c r="R187" t="s">
        <v>29</v>
      </c>
      <c r="S187" t="s">
        <v>1014</v>
      </c>
      <c r="T187" t="str">
        <f>IF(OR(F187="Project - Competitive",F187="Project - Not Competitive"),"New Business","Upsell")</f>
        <v>New Business</v>
      </c>
      <c r="U187" t="str">
        <f>TEXT(M187,"mm/aaaa")</f>
        <v>05/2026</v>
      </c>
      <c r="V187" t="str">
        <f t="shared" si="4"/>
        <v/>
      </c>
      <c r="W187" s="26">
        <f t="shared" ca="1" si="5"/>
        <v>54</v>
      </c>
    </row>
    <row r="188" spans="1:23">
      <c r="A188" t="s">
        <v>605</v>
      </c>
      <c r="B188" t="s">
        <v>606</v>
      </c>
      <c r="C188" t="s">
        <v>607</v>
      </c>
      <c r="D188" t="s">
        <v>126</v>
      </c>
      <c r="E188" t="s">
        <v>608</v>
      </c>
      <c r="F188" t="s">
        <v>23</v>
      </c>
      <c r="G188" t="s">
        <v>119</v>
      </c>
      <c r="H188">
        <v>254376.21</v>
      </c>
      <c r="I188" t="s">
        <v>25</v>
      </c>
      <c r="J188">
        <v>254376.21</v>
      </c>
      <c r="K188" t="s">
        <v>25</v>
      </c>
      <c r="L188" t="s">
        <v>57</v>
      </c>
      <c r="M188" s="20">
        <v>46173</v>
      </c>
      <c r="N188" s="20">
        <v>46072</v>
      </c>
      <c r="O188" t="s">
        <v>27</v>
      </c>
      <c r="P188" t="s">
        <v>58</v>
      </c>
      <c r="Q188" t="s">
        <v>164</v>
      </c>
      <c r="R188" t="s">
        <v>122</v>
      </c>
      <c r="S188" t="s">
        <v>1012</v>
      </c>
      <c r="T188" t="str">
        <f>IF(OR(F188="Project - Competitive",F188="Project - Not Competitive"),"New Business","Upsell")</f>
        <v>Upsell</v>
      </c>
      <c r="U188" t="str">
        <f>TEXT(M188,"mm/aaaa")</f>
        <v>05/2026</v>
      </c>
      <c r="V188" t="str">
        <f t="shared" si="4"/>
        <v/>
      </c>
      <c r="W188" s="26">
        <f t="shared" ca="1" si="5"/>
        <v>66</v>
      </c>
    </row>
    <row r="189" spans="1:23">
      <c r="A189" t="s">
        <v>302</v>
      </c>
      <c r="B189" t="s">
        <v>303</v>
      </c>
      <c r="C189" t="s">
        <v>304</v>
      </c>
      <c r="D189" t="s">
        <v>102</v>
      </c>
      <c r="E189" t="s">
        <v>309</v>
      </c>
      <c r="F189" t="s">
        <v>82</v>
      </c>
      <c r="G189" t="s">
        <v>40</v>
      </c>
      <c r="H189">
        <v>760000</v>
      </c>
      <c r="I189" t="s">
        <v>25</v>
      </c>
      <c r="J189">
        <v>64000</v>
      </c>
      <c r="K189" t="s">
        <v>25</v>
      </c>
      <c r="L189" t="s">
        <v>57</v>
      </c>
      <c r="M189" s="20">
        <v>46049</v>
      </c>
      <c r="N189" s="20">
        <v>45987</v>
      </c>
      <c r="O189" t="s">
        <v>27</v>
      </c>
      <c r="P189" t="s">
        <v>1018</v>
      </c>
      <c r="Q189" t="s">
        <v>306</v>
      </c>
      <c r="R189" t="s">
        <v>29</v>
      </c>
      <c r="S189" t="s">
        <v>1012</v>
      </c>
      <c r="T189" t="str">
        <f>IF(OR(F189="Project - Competitive",F189="Project - Not Competitive"),"New Business","Upsell")</f>
        <v>Upsell</v>
      </c>
      <c r="U189" t="str">
        <f>TEXT(M189,"mm/aaaa")</f>
        <v>01/2026</v>
      </c>
      <c r="V189">
        <f t="shared" si="4"/>
        <v>62</v>
      </c>
      <c r="W189" s="26" t="str">
        <f t="shared" ca="1" si="5"/>
        <v/>
      </c>
    </row>
    <row r="190" spans="1:23">
      <c r="A190" t="s">
        <v>286</v>
      </c>
      <c r="B190" t="s">
        <v>287</v>
      </c>
      <c r="C190" t="s">
        <v>288</v>
      </c>
      <c r="D190" t="s">
        <v>132</v>
      </c>
      <c r="E190" t="s">
        <v>289</v>
      </c>
      <c r="F190" t="s">
        <v>39</v>
      </c>
      <c r="G190" t="s">
        <v>40</v>
      </c>
      <c r="H190">
        <v>195525</v>
      </c>
      <c r="I190" t="s">
        <v>25</v>
      </c>
      <c r="J190">
        <v>61020</v>
      </c>
      <c r="K190" t="s">
        <v>25</v>
      </c>
      <c r="L190" t="s">
        <v>57</v>
      </c>
      <c r="M190" s="20">
        <v>46112</v>
      </c>
      <c r="N190" s="20">
        <v>45987</v>
      </c>
      <c r="O190" t="s">
        <v>290</v>
      </c>
      <c r="P190" t="s">
        <v>58</v>
      </c>
      <c r="Q190" t="s">
        <v>83</v>
      </c>
      <c r="R190" t="s">
        <v>185</v>
      </c>
      <c r="S190" t="s">
        <v>1015</v>
      </c>
      <c r="T190" t="str">
        <f>IF(OR(F190="Project - Competitive",F190="Project - Not Competitive"),"New Business","Upsell")</f>
        <v>New Business</v>
      </c>
      <c r="U190" t="str">
        <f>TEXT(M190,"mm/aaaa")</f>
        <v>03/2026</v>
      </c>
      <c r="V190">
        <f t="shared" si="4"/>
        <v>125</v>
      </c>
      <c r="W190" s="26" t="str">
        <f t="shared" ca="1" si="5"/>
        <v/>
      </c>
    </row>
    <row r="191" spans="1:23">
      <c r="A191" t="s">
        <v>718</v>
      </c>
      <c r="B191" t="s">
        <v>719</v>
      </c>
      <c r="C191" t="s">
        <v>720</v>
      </c>
      <c r="D191" t="s">
        <v>203</v>
      </c>
      <c r="E191" t="s">
        <v>723</v>
      </c>
      <c r="F191" t="s">
        <v>39</v>
      </c>
      <c r="G191" t="s">
        <v>66</v>
      </c>
      <c r="H191">
        <v>835250.32000000007</v>
      </c>
      <c r="I191" t="s">
        <v>25</v>
      </c>
      <c r="J191">
        <v>41122</v>
      </c>
      <c r="K191" t="s">
        <v>25</v>
      </c>
      <c r="L191" t="s">
        <v>57</v>
      </c>
      <c r="M191" s="20">
        <v>46155</v>
      </c>
      <c r="N191" s="20">
        <v>46329</v>
      </c>
      <c r="O191" t="s">
        <v>50</v>
      </c>
      <c r="P191" t="s">
        <v>1018</v>
      </c>
      <c r="Q191" t="s">
        <v>409</v>
      </c>
      <c r="R191" t="s">
        <v>29</v>
      </c>
      <c r="S191" t="s">
        <v>1015</v>
      </c>
      <c r="T191" t="str">
        <f>IF(OR(F191="Project - Competitive",F191="Project - Not Competitive"),"New Business","Upsell")</f>
        <v>New Business</v>
      </c>
      <c r="U191" t="str">
        <f>TEXT(M191,"mm/aaaa")</f>
        <v>05/2026</v>
      </c>
      <c r="V191" t="str">
        <f t="shared" si="4"/>
        <v/>
      </c>
      <c r="W191" s="26">
        <f t="shared" ca="1" si="5"/>
        <v>0</v>
      </c>
    </row>
    <row r="192" spans="1:23">
      <c r="A192" t="s">
        <v>266</v>
      </c>
      <c r="B192" t="s">
        <v>68</v>
      </c>
      <c r="C192" t="s">
        <v>69</v>
      </c>
      <c r="D192" t="s">
        <v>70</v>
      </c>
      <c r="E192" t="s">
        <v>267</v>
      </c>
      <c r="F192" t="s">
        <v>82</v>
      </c>
      <c r="G192" t="s">
        <v>40</v>
      </c>
      <c r="H192">
        <v>4260383.32</v>
      </c>
      <c r="I192" t="s">
        <v>25</v>
      </c>
      <c r="J192">
        <v>432000</v>
      </c>
      <c r="K192" t="s">
        <v>25</v>
      </c>
      <c r="L192" t="s">
        <v>57</v>
      </c>
      <c r="M192" s="20">
        <v>46268</v>
      </c>
      <c r="N192" s="20">
        <v>45975</v>
      </c>
      <c r="O192" t="s">
        <v>27</v>
      </c>
      <c r="P192" t="s">
        <v>1018</v>
      </c>
      <c r="Q192" t="s">
        <v>105</v>
      </c>
      <c r="R192" t="s">
        <v>29</v>
      </c>
      <c r="S192" t="s">
        <v>1012</v>
      </c>
      <c r="T192" t="str">
        <f>IF(OR(F192="Project - Competitive",F192="Project - Not Competitive"),"New Business","Upsell")</f>
        <v>Upsell</v>
      </c>
      <c r="U192" t="str">
        <f>TEXT(M192,"mm/aaaa")</f>
        <v>09/2026</v>
      </c>
      <c r="V192">
        <f t="shared" si="4"/>
        <v>293</v>
      </c>
      <c r="W192" s="26" t="str">
        <f t="shared" ca="1" si="5"/>
        <v/>
      </c>
    </row>
    <row r="193" spans="1:23">
      <c r="A193" t="s">
        <v>270</v>
      </c>
      <c r="B193" t="s">
        <v>68</v>
      </c>
      <c r="C193" t="s">
        <v>69</v>
      </c>
      <c r="D193" t="s">
        <v>70</v>
      </c>
      <c r="E193" t="s">
        <v>87</v>
      </c>
      <c r="F193" t="s">
        <v>82</v>
      </c>
      <c r="G193" t="s">
        <v>40</v>
      </c>
      <c r="H193">
        <v>3785206.2099999995</v>
      </c>
      <c r="I193" t="s">
        <v>25</v>
      </c>
      <c r="J193">
        <v>746108.88</v>
      </c>
      <c r="K193" t="s">
        <v>25</v>
      </c>
      <c r="L193" t="s">
        <v>57</v>
      </c>
      <c r="M193" s="20">
        <v>46066</v>
      </c>
      <c r="N193" s="20">
        <v>45975</v>
      </c>
      <c r="O193" t="s">
        <v>27</v>
      </c>
      <c r="P193" t="s">
        <v>1018</v>
      </c>
      <c r="Q193" t="s">
        <v>271</v>
      </c>
      <c r="R193" t="s">
        <v>29</v>
      </c>
      <c r="S193" t="s">
        <v>1012</v>
      </c>
      <c r="T193" t="str">
        <f>IF(OR(F193="Project - Competitive",F193="Project - Not Competitive"),"New Business","Upsell")</f>
        <v>Upsell</v>
      </c>
      <c r="U193" t="str">
        <f>TEXT(M193,"mm/aaaa")</f>
        <v>02/2026</v>
      </c>
      <c r="V193">
        <f t="shared" si="4"/>
        <v>91</v>
      </c>
      <c r="W193" s="26" t="str">
        <f t="shared" ca="1" si="5"/>
        <v/>
      </c>
    </row>
    <row r="194" spans="1:23">
      <c r="A194" t="s">
        <v>349</v>
      </c>
      <c r="B194" t="s">
        <v>68</v>
      </c>
      <c r="C194" t="s">
        <v>69</v>
      </c>
      <c r="D194" t="s">
        <v>70</v>
      </c>
      <c r="E194" t="s">
        <v>268</v>
      </c>
      <c r="F194" t="s">
        <v>82</v>
      </c>
      <c r="G194" t="s">
        <v>40</v>
      </c>
      <c r="H194">
        <v>490082.16</v>
      </c>
      <c r="I194" t="s">
        <v>25</v>
      </c>
      <c r="J194">
        <v>144000</v>
      </c>
      <c r="K194" t="s">
        <v>25</v>
      </c>
      <c r="L194" t="s">
        <v>57</v>
      </c>
      <c r="M194" s="20">
        <v>46329</v>
      </c>
      <c r="N194" s="20">
        <v>45700</v>
      </c>
      <c r="O194" t="s">
        <v>27</v>
      </c>
      <c r="P194" t="s">
        <v>1018</v>
      </c>
      <c r="Q194" t="s">
        <v>350</v>
      </c>
      <c r="R194" t="s">
        <v>29</v>
      </c>
      <c r="S194" t="s">
        <v>1012</v>
      </c>
      <c r="T194" t="str">
        <f>IF(OR(F194="Project - Competitive",F194="Project - Not Competitive"),"New Business","Upsell")</f>
        <v>Upsell</v>
      </c>
      <c r="U194" t="str">
        <f>TEXT(M194,"mm/aaaa")</f>
        <v>11/2026</v>
      </c>
      <c r="V194">
        <f t="shared" si="4"/>
        <v>629</v>
      </c>
      <c r="W194" s="26" t="str">
        <f t="shared" ca="1" si="5"/>
        <v/>
      </c>
    </row>
    <row r="195" spans="1:23">
      <c r="A195" t="s">
        <v>749</v>
      </c>
      <c r="B195" t="s">
        <v>68</v>
      </c>
      <c r="C195" t="s">
        <v>69</v>
      </c>
      <c r="D195" t="s">
        <v>70</v>
      </c>
      <c r="E195" t="s">
        <v>87</v>
      </c>
      <c r="F195" t="s">
        <v>82</v>
      </c>
      <c r="G195" t="s">
        <v>24</v>
      </c>
      <c r="H195">
        <v>709465.68</v>
      </c>
      <c r="I195" t="s">
        <v>25</v>
      </c>
      <c r="J195">
        <v>144000</v>
      </c>
      <c r="K195" t="s">
        <v>25</v>
      </c>
      <c r="L195" t="s">
        <v>57</v>
      </c>
      <c r="M195" s="20">
        <v>46142</v>
      </c>
      <c r="N195" s="20">
        <v>46359</v>
      </c>
      <c r="O195" t="s">
        <v>27</v>
      </c>
      <c r="P195" t="s">
        <v>1018</v>
      </c>
      <c r="Q195" t="s">
        <v>750</v>
      </c>
      <c r="R195" t="s">
        <v>29</v>
      </c>
      <c r="S195" t="s">
        <v>1012</v>
      </c>
      <c r="T195" t="str">
        <f>IF(OR(F195="Project - Competitive",F195="Project - Not Competitive"),"New Business","Upsell")</f>
        <v>Upsell</v>
      </c>
      <c r="U195" t="str">
        <f>TEXT(M195,"mm/aaaa")</f>
        <v>04/2026</v>
      </c>
      <c r="V195" t="str">
        <f t="shared" ref="V195:V258" si="6">IF(AND(G195="Closed Won",M195&gt;N195),M195-N195,"")</f>
        <v/>
      </c>
      <c r="W195" s="26">
        <f t="shared" ref="W195:W258" ca="1" si="7">IF(G195&lt;&gt;"Closed Won",MAX(0,TODAY()-N195),"")</f>
        <v>0</v>
      </c>
    </row>
    <row r="196" spans="1:23">
      <c r="A196" t="s">
        <v>67</v>
      </c>
      <c r="B196" t="s">
        <v>68</v>
      </c>
      <c r="C196" t="s">
        <v>69</v>
      </c>
      <c r="D196" t="s">
        <v>70</v>
      </c>
      <c r="E196" t="s">
        <v>417</v>
      </c>
      <c r="F196" t="s">
        <v>23</v>
      </c>
      <c r="G196" t="s">
        <v>40</v>
      </c>
      <c r="H196">
        <v>64258.47</v>
      </c>
      <c r="I196" t="s">
        <v>25</v>
      </c>
      <c r="J196">
        <v>64258.47</v>
      </c>
      <c r="K196" t="s">
        <v>25</v>
      </c>
      <c r="L196" t="s">
        <v>57</v>
      </c>
      <c r="M196" s="20">
        <v>46043</v>
      </c>
      <c r="N196" s="20">
        <v>45890</v>
      </c>
      <c r="O196" t="s">
        <v>27</v>
      </c>
      <c r="P196" t="s">
        <v>1018</v>
      </c>
      <c r="Q196" t="s">
        <v>72</v>
      </c>
      <c r="R196" t="s">
        <v>73</v>
      </c>
      <c r="S196" t="s">
        <v>1012</v>
      </c>
      <c r="T196" t="str">
        <f>IF(OR(F196="Project - Competitive",F196="Project - Not Competitive"),"New Business","Upsell")</f>
        <v>Upsell</v>
      </c>
      <c r="U196" t="str">
        <f>TEXT(M196,"mm/aaaa")</f>
        <v>01/2026</v>
      </c>
      <c r="V196">
        <f t="shared" si="6"/>
        <v>153</v>
      </c>
      <c r="W196" s="26" t="str">
        <f t="shared" ca="1" si="7"/>
        <v/>
      </c>
    </row>
    <row r="197" spans="1:23">
      <c r="A197" t="s">
        <v>416</v>
      </c>
      <c r="B197" t="s">
        <v>68</v>
      </c>
      <c r="C197" t="s">
        <v>69</v>
      </c>
      <c r="D197" t="s">
        <v>70</v>
      </c>
      <c r="E197" t="s">
        <v>898</v>
      </c>
      <c r="F197" t="s">
        <v>23</v>
      </c>
      <c r="G197" t="s">
        <v>24</v>
      </c>
      <c r="H197">
        <v>10</v>
      </c>
      <c r="I197" t="s">
        <v>25</v>
      </c>
      <c r="J197">
        <v>10</v>
      </c>
      <c r="K197" t="s">
        <v>25</v>
      </c>
      <c r="L197" t="s">
        <v>57</v>
      </c>
      <c r="M197" s="20">
        <v>46142</v>
      </c>
      <c r="N197" s="20">
        <v>46235</v>
      </c>
      <c r="O197" t="s">
        <v>27</v>
      </c>
      <c r="P197" t="s">
        <v>1018</v>
      </c>
      <c r="Q197" t="s">
        <v>418</v>
      </c>
      <c r="R197" t="s">
        <v>73</v>
      </c>
      <c r="S197" t="s">
        <v>1012</v>
      </c>
      <c r="T197" t="str">
        <f>IF(OR(F197="Project - Competitive",F197="Project - Not Competitive"),"New Business","Upsell")</f>
        <v>Upsell</v>
      </c>
      <c r="U197" t="str">
        <f>TEXT(M197,"mm/aaaa")</f>
        <v>04/2026</v>
      </c>
      <c r="V197" t="str">
        <f t="shared" si="6"/>
        <v/>
      </c>
      <c r="W197" s="26">
        <f t="shared" ca="1" si="7"/>
        <v>0</v>
      </c>
    </row>
    <row r="198" spans="1:23">
      <c r="A198" t="s">
        <v>78</v>
      </c>
      <c r="B198" t="s">
        <v>79</v>
      </c>
      <c r="C198" t="s">
        <v>80</v>
      </c>
      <c r="D198" t="s">
        <v>70</v>
      </c>
      <c r="E198" t="s">
        <v>81</v>
      </c>
      <c r="F198" t="s">
        <v>82</v>
      </c>
      <c r="G198" t="s">
        <v>40</v>
      </c>
      <c r="H198">
        <v>2706200.27</v>
      </c>
      <c r="I198" t="s">
        <v>25</v>
      </c>
      <c r="J198">
        <v>573365.34</v>
      </c>
      <c r="K198" t="s">
        <v>25</v>
      </c>
      <c r="L198" t="s">
        <v>57</v>
      </c>
      <c r="M198" s="20">
        <v>46112</v>
      </c>
      <c r="N198" s="20">
        <v>45891</v>
      </c>
      <c r="O198" t="s">
        <v>27</v>
      </c>
      <c r="P198" t="s">
        <v>1018</v>
      </c>
      <c r="Q198" t="s">
        <v>83</v>
      </c>
      <c r="R198" t="s">
        <v>29</v>
      </c>
      <c r="S198" t="s">
        <v>1012</v>
      </c>
      <c r="T198" t="str">
        <f>IF(OR(F198="Project - Competitive",F198="Project - Not Competitive"),"New Business","Upsell")</f>
        <v>Upsell</v>
      </c>
      <c r="U198" t="str">
        <f>TEXT(M198,"mm/aaaa")</f>
        <v>03/2026</v>
      </c>
      <c r="V198">
        <f t="shared" si="6"/>
        <v>221</v>
      </c>
      <c r="W198" s="26" t="str">
        <f t="shared" ca="1" si="7"/>
        <v/>
      </c>
    </row>
    <row r="199" spans="1:23" ht="14.4" customHeight="1">
      <c r="A199" t="s">
        <v>317</v>
      </c>
      <c r="B199" t="s">
        <v>124</v>
      </c>
      <c r="C199" t="s">
        <v>125</v>
      </c>
      <c r="D199" t="s">
        <v>126</v>
      </c>
      <c r="E199" t="s">
        <v>577</v>
      </c>
      <c r="F199" t="s">
        <v>23</v>
      </c>
      <c r="G199" t="s">
        <v>24</v>
      </c>
      <c r="H199">
        <v>235251.12000000002</v>
      </c>
      <c r="I199" t="s">
        <v>25</v>
      </c>
      <c r="J199">
        <v>47991.23</v>
      </c>
      <c r="K199" t="s">
        <v>25</v>
      </c>
      <c r="L199" t="s">
        <v>120</v>
      </c>
      <c r="M199" s="20">
        <v>46173</v>
      </c>
      <c r="N199" s="20">
        <v>45989</v>
      </c>
      <c r="O199" t="s">
        <v>27</v>
      </c>
      <c r="P199" t="s">
        <v>58</v>
      </c>
      <c r="Q199" t="s">
        <v>252</v>
      </c>
      <c r="R199" t="s">
        <v>29</v>
      </c>
      <c r="S199" t="s">
        <v>1012</v>
      </c>
      <c r="T199" t="str">
        <f>IF(OR(F199="Project - Competitive",F199="Project - Not Competitive"),"New Business","Upsell")</f>
        <v>Upsell</v>
      </c>
      <c r="U199" t="str">
        <f>TEXT(M199,"mm/aaaa")</f>
        <v>05/2026</v>
      </c>
      <c r="V199" t="str">
        <f t="shared" si="6"/>
        <v/>
      </c>
      <c r="W199" s="26">
        <f t="shared" ca="1" si="7"/>
        <v>149</v>
      </c>
    </row>
    <row r="200" spans="1:23">
      <c r="A200" t="s">
        <v>404</v>
      </c>
      <c r="B200" t="s">
        <v>296</v>
      </c>
      <c r="C200" t="s">
        <v>297</v>
      </c>
      <c r="D200" t="s">
        <v>298</v>
      </c>
      <c r="E200" t="s">
        <v>405</v>
      </c>
      <c r="F200" t="s">
        <v>49</v>
      </c>
      <c r="G200" t="s">
        <v>40</v>
      </c>
      <c r="H200">
        <v>120000</v>
      </c>
      <c r="I200" t="s">
        <v>25</v>
      </c>
      <c r="J200">
        <v>120000</v>
      </c>
      <c r="K200" t="s">
        <v>25</v>
      </c>
      <c r="L200" t="s">
        <v>120</v>
      </c>
      <c r="M200" s="20">
        <v>46036</v>
      </c>
      <c r="N200" s="20">
        <v>46013</v>
      </c>
      <c r="O200" t="s">
        <v>290</v>
      </c>
      <c r="P200" t="s">
        <v>1018</v>
      </c>
      <c r="Q200" t="s">
        <v>59</v>
      </c>
      <c r="R200" t="s">
        <v>29</v>
      </c>
      <c r="S200" t="s">
        <v>1015</v>
      </c>
      <c r="T200" t="str">
        <f>IF(OR(F200="Project - Competitive",F200="Project - Not Competitive"),"New Business","Upsell")</f>
        <v>New Business</v>
      </c>
      <c r="U200" t="str">
        <f>TEXT(M200,"mm/aaaa")</f>
        <v>01/2026</v>
      </c>
      <c r="V200">
        <f t="shared" si="6"/>
        <v>23</v>
      </c>
      <c r="W200" s="26" t="str">
        <f t="shared" ca="1" si="7"/>
        <v/>
      </c>
    </row>
    <row r="201" spans="1:23" ht="14.4" customHeight="1">
      <c r="A201" t="s">
        <v>462</v>
      </c>
      <c r="B201" t="s">
        <v>463</v>
      </c>
      <c r="C201" t="s">
        <v>464</v>
      </c>
      <c r="D201" t="s">
        <v>298</v>
      </c>
      <c r="E201" t="s">
        <v>467</v>
      </c>
      <c r="F201" t="s">
        <v>39</v>
      </c>
      <c r="G201" t="s">
        <v>40</v>
      </c>
      <c r="H201">
        <v>4293965.2399999993</v>
      </c>
      <c r="I201" t="s">
        <v>25</v>
      </c>
      <c r="J201">
        <v>631584</v>
      </c>
      <c r="K201" t="s">
        <v>25</v>
      </c>
      <c r="L201" t="s">
        <v>120</v>
      </c>
      <c r="M201" s="20">
        <v>46080</v>
      </c>
      <c r="N201" s="20">
        <v>46042</v>
      </c>
      <c r="O201" t="s">
        <v>149</v>
      </c>
      <c r="P201" t="s">
        <v>1018</v>
      </c>
      <c r="Q201" t="s">
        <v>88</v>
      </c>
      <c r="R201" t="s">
        <v>29</v>
      </c>
      <c r="S201" t="s">
        <v>1015</v>
      </c>
      <c r="T201" t="str">
        <f>IF(OR(F201="Project - Competitive",F201="Project - Not Competitive"),"New Business","Upsell")</f>
        <v>New Business</v>
      </c>
      <c r="U201" t="str">
        <f>TEXT(M201,"mm/aaaa")</f>
        <v>02/2026</v>
      </c>
      <c r="V201">
        <f t="shared" si="6"/>
        <v>38</v>
      </c>
      <c r="W201" s="26" t="str">
        <f t="shared" ca="1" si="7"/>
        <v/>
      </c>
    </row>
    <row r="202" spans="1:23" ht="14.4" customHeight="1">
      <c r="A202" t="s">
        <v>300</v>
      </c>
      <c r="B202" t="s">
        <v>301</v>
      </c>
      <c r="C202" t="s">
        <v>1064</v>
      </c>
      <c r="D202" t="s">
        <v>203</v>
      </c>
      <c r="E202" t="s">
        <v>1053</v>
      </c>
      <c r="F202" t="s">
        <v>39</v>
      </c>
      <c r="G202" t="s">
        <v>66</v>
      </c>
      <c r="H202">
        <v>6208423.2000000002</v>
      </c>
      <c r="I202" t="s">
        <v>25</v>
      </c>
      <c r="J202">
        <v>419838.24</v>
      </c>
      <c r="K202" t="s">
        <v>25</v>
      </c>
      <c r="L202" t="s">
        <v>120</v>
      </c>
      <c r="M202" s="20">
        <v>46155</v>
      </c>
      <c r="N202" s="20">
        <v>45987</v>
      </c>
      <c r="O202" t="s">
        <v>50</v>
      </c>
      <c r="P202" t="s">
        <v>58</v>
      </c>
      <c r="Q202" t="s">
        <v>97</v>
      </c>
      <c r="R202" t="s">
        <v>29</v>
      </c>
      <c r="S202" t="s">
        <v>1015</v>
      </c>
      <c r="T202" t="str">
        <f>IF(OR(F202="Project - Competitive",F202="Project - Not Competitive"),"New Business","Upsell")</f>
        <v>New Business</v>
      </c>
      <c r="U202" t="str">
        <f>TEXT(M202,"mm/aaaa")</f>
        <v>05/2026</v>
      </c>
      <c r="V202" t="str">
        <f t="shared" si="6"/>
        <v/>
      </c>
      <c r="W202" s="26">
        <f t="shared" ca="1" si="7"/>
        <v>151</v>
      </c>
    </row>
    <row r="203" spans="1:23">
      <c r="A203" t="s">
        <v>594</v>
      </c>
      <c r="B203" t="s">
        <v>206</v>
      </c>
      <c r="C203" t="s">
        <v>207</v>
      </c>
      <c r="D203" t="s">
        <v>37</v>
      </c>
      <c r="E203" t="s">
        <v>211</v>
      </c>
      <c r="F203" t="s">
        <v>39</v>
      </c>
      <c r="G203" t="s">
        <v>24</v>
      </c>
      <c r="H203">
        <v>1184791</v>
      </c>
      <c r="I203" t="s">
        <v>25</v>
      </c>
      <c r="J203">
        <v>406820</v>
      </c>
      <c r="K203" t="s">
        <v>25</v>
      </c>
      <c r="L203" t="s">
        <v>120</v>
      </c>
      <c r="M203" s="20">
        <v>46136</v>
      </c>
      <c r="N203" s="20">
        <v>46071</v>
      </c>
      <c r="O203" t="s">
        <v>149</v>
      </c>
      <c r="P203" t="s">
        <v>1005</v>
      </c>
      <c r="Q203" t="s">
        <v>156</v>
      </c>
      <c r="R203" t="s">
        <v>198</v>
      </c>
      <c r="S203" t="s">
        <v>1015</v>
      </c>
      <c r="T203" t="str">
        <f>IF(OR(F203="Project - Competitive",F203="Project - Not Competitive"),"New Business","Upsell")</f>
        <v>New Business</v>
      </c>
      <c r="U203" t="str">
        <f>TEXT(M203,"mm/aaaa")</f>
        <v>04/2026</v>
      </c>
      <c r="V203" t="str">
        <f t="shared" si="6"/>
        <v/>
      </c>
      <c r="W203" s="26">
        <f t="shared" ca="1" si="7"/>
        <v>67</v>
      </c>
    </row>
    <row r="204" spans="1:23">
      <c r="A204" t="s">
        <v>205</v>
      </c>
      <c r="B204" t="s">
        <v>206</v>
      </c>
      <c r="C204" t="s">
        <v>207</v>
      </c>
      <c r="D204" t="s">
        <v>37</v>
      </c>
      <c r="E204" t="s">
        <v>596</v>
      </c>
      <c r="F204" t="s">
        <v>39</v>
      </c>
      <c r="G204" t="s">
        <v>40</v>
      </c>
      <c r="H204">
        <v>1014586.08</v>
      </c>
      <c r="I204" t="s">
        <v>25</v>
      </c>
      <c r="J204">
        <v>255745.08</v>
      </c>
      <c r="K204" t="s">
        <v>25</v>
      </c>
      <c r="L204" t="s">
        <v>120</v>
      </c>
      <c r="M204" s="20">
        <v>46174</v>
      </c>
      <c r="N204" s="20">
        <v>45957</v>
      </c>
      <c r="O204" t="s">
        <v>554</v>
      </c>
      <c r="P204" t="s">
        <v>1005</v>
      </c>
      <c r="Q204" t="s">
        <v>210</v>
      </c>
      <c r="R204" t="s">
        <v>122</v>
      </c>
      <c r="S204" t="s">
        <v>1012</v>
      </c>
      <c r="T204" t="str">
        <f>IF(OR(F204="Project - Competitive",F204="Project - Not Competitive"),"New Business","Upsell")</f>
        <v>New Business</v>
      </c>
      <c r="U204" t="str">
        <f>TEXT(M204,"mm/aaaa")</f>
        <v>06/2026</v>
      </c>
      <c r="V204">
        <f t="shared" si="6"/>
        <v>217</v>
      </c>
      <c r="W204" s="26" t="str">
        <f t="shared" ca="1" si="7"/>
        <v/>
      </c>
    </row>
    <row r="205" spans="1:23">
      <c r="A205" t="s">
        <v>681</v>
      </c>
      <c r="B205" t="s">
        <v>115</v>
      </c>
      <c r="C205" t="s">
        <v>116</v>
      </c>
      <c r="D205" t="s">
        <v>117</v>
      </c>
      <c r="E205" t="s">
        <v>683</v>
      </c>
      <c r="F205" t="s">
        <v>23</v>
      </c>
      <c r="G205" t="s">
        <v>40</v>
      </c>
      <c r="H205">
        <v>274209.96999999997</v>
      </c>
      <c r="I205" t="s">
        <v>25</v>
      </c>
      <c r="J205">
        <v>33179.410000000003</v>
      </c>
      <c r="K205" t="s">
        <v>25</v>
      </c>
      <c r="L205" t="s">
        <v>120</v>
      </c>
      <c r="M205" s="20">
        <v>46145</v>
      </c>
      <c r="N205" s="20">
        <v>46145</v>
      </c>
      <c r="O205" t="s">
        <v>27</v>
      </c>
      <c r="P205" t="s">
        <v>58</v>
      </c>
      <c r="Q205" t="s">
        <v>480</v>
      </c>
      <c r="R205" t="s">
        <v>73</v>
      </c>
      <c r="S205" t="s">
        <v>1012</v>
      </c>
      <c r="T205" t="str">
        <f>IF(OR(F205="Project - Competitive",F205="Project - Not Competitive"),"New Business","Upsell")</f>
        <v>Upsell</v>
      </c>
      <c r="U205" t="str">
        <f>TEXT(M205,"mm/aaaa")</f>
        <v>05/2026</v>
      </c>
      <c r="V205" t="str">
        <f t="shared" si="6"/>
        <v/>
      </c>
      <c r="W205" s="26" t="str">
        <f t="shared" ca="1" si="7"/>
        <v/>
      </c>
    </row>
    <row r="206" spans="1:23">
      <c r="A206" t="s">
        <v>114</v>
      </c>
      <c r="B206" t="s">
        <v>115</v>
      </c>
      <c r="C206" t="s">
        <v>116</v>
      </c>
      <c r="D206" t="s">
        <v>117</v>
      </c>
      <c r="E206" t="s">
        <v>684</v>
      </c>
      <c r="F206" t="s">
        <v>23</v>
      </c>
      <c r="G206" t="s">
        <v>119</v>
      </c>
      <c r="H206">
        <v>47800.800000000003</v>
      </c>
      <c r="I206" t="s">
        <v>25</v>
      </c>
      <c r="J206">
        <v>47800.800000000003</v>
      </c>
      <c r="K206" t="s">
        <v>25</v>
      </c>
      <c r="L206" t="s">
        <v>120</v>
      </c>
      <c r="M206" s="20">
        <v>46173</v>
      </c>
      <c r="N206" s="20">
        <v>45917</v>
      </c>
      <c r="O206" t="s">
        <v>27</v>
      </c>
      <c r="P206" t="s">
        <v>58</v>
      </c>
      <c r="Q206" t="s">
        <v>121</v>
      </c>
      <c r="R206" t="s">
        <v>122</v>
      </c>
      <c r="S206" t="s">
        <v>1012</v>
      </c>
      <c r="T206" t="str">
        <f>IF(OR(F206="Project - Competitive",F206="Project - Not Competitive"),"New Business","Upsell")</f>
        <v>Upsell</v>
      </c>
      <c r="U206" t="str">
        <f>TEXT(M206,"mm/aaaa")</f>
        <v>05/2026</v>
      </c>
      <c r="V206" t="str">
        <f t="shared" si="6"/>
        <v/>
      </c>
      <c r="W206" s="26">
        <f t="shared" ca="1" si="7"/>
        <v>221</v>
      </c>
    </row>
    <row r="207" spans="1:23">
      <c r="A207" t="s">
        <v>791</v>
      </c>
      <c r="B207" t="s">
        <v>792</v>
      </c>
      <c r="C207" t="s">
        <v>793</v>
      </c>
      <c r="D207" t="s">
        <v>298</v>
      </c>
      <c r="E207" t="s">
        <v>795</v>
      </c>
      <c r="F207" t="s">
        <v>39</v>
      </c>
      <c r="G207" t="s">
        <v>330</v>
      </c>
      <c r="H207">
        <v>1528601.1600000001</v>
      </c>
      <c r="I207" t="s">
        <v>25</v>
      </c>
      <c r="J207">
        <v>567936</v>
      </c>
      <c r="K207" t="s">
        <v>25</v>
      </c>
      <c r="L207" t="s">
        <v>120</v>
      </c>
      <c r="M207" s="20">
        <v>46173</v>
      </c>
      <c r="N207" s="20">
        <v>46101</v>
      </c>
      <c r="O207" t="s">
        <v>135</v>
      </c>
      <c r="P207" t="s">
        <v>1018</v>
      </c>
      <c r="Q207" t="s">
        <v>165</v>
      </c>
      <c r="R207" t="s">
        <v>29</v>
      </c>
      <c r="S207" t="s">
        <v>1014</v>
      </c>
      <c r="T207" t="str">
        <f>IF(OR(F207="Project - Competitive",F207="Project - Not Competitive"),"New Business","Upsell")</f>
        <v>New Business</v>
      </c>
      <c r="U207" t="str">
        <f>TEXT(M207,"mm/aaaa")</f>
        <v>05/2026</v>
      </c>
      <c r="V207" t="str">
        <f t="shared" si="6"/>
        <v/>
      </c>
      <c r="W207" s="26">
        <f t="shared" ca="1" si="7"/>
        <v>37</v>
      </c>
    </row>
    <row r="208" spans="1:23">
      <c r="A208" t="s">
        <v>760</v>
      </c>
      <c r="B208" t="s">
        <v>448</v>
      </c>
      <c r="C208" t="s">
        <v>449</v>
      </c>
      <c r="D208" t="s">
        <v>328</v>
      </c>
      <c r="E208" t="s">
        <v>637</v>
      </c>
      <c r="F208" t="s">
        <v>23</v>
      </c>
      <c r="G208" t="s">
        <v>330</v>
      </c>
      <c r="H208">
        <v>270000</v>
      </c>
      <c r="I208" t="s">
        <v>25</v>
      </c>
      <c r="J208">
        <v>270000</v>
      </c>
      <c r="K208" t="s">
        <v>25</v>
      </c>
      <c r="L208" t="s">
        <v>41</v>
      </c>
      <c r="M208" s="20">
        <v>46234</v>
      </c>
      <c r="N208" s="20">
        <v>46094</v>
      </c>
      <c r="O208" t="s">
        <v>27</v>
      </c>
      <c r="P208" t="s">
        <v>1005</v>
      </c>
      <c r="Q208" t="s">
        <v>29</v>
      </c>
      <c r="R208" t="s">
        <v>29</v>
      </c>
      <c r="S208" t="s">
        <v>1012</v>
      </c>
      <c r="T208" t="str">
        <f>IF(OR(F208="Project - Competitive",F208="Project - Not Competitive"),"New Business","Upsell")</f>
        <v>Upsell</v>
      </c>
      <c r="U208" t="str">
        <f>TEXT(M208,"mm/aaaa")</f>
        <v>07/2026</v>
      </c>
      <c r="V208" t="str">
        <f t="shared" si="6"/>
        <v/>
      </c>
      <c r="W208" s="26">
        <f t="shared" ca="1" si="7"/>
        <v>44</v>
      </c>
    </row>
    <row r="209" spans="1:23">
      <c r="A209" t="s">
        <v>641</v>
      </c>
      <c r="B209" t="s">
        <v>642</v>
      </c>
      <c r="C209" t="s">
        <v>643</v>
      </c>
      <c r="D209" t="s">
        <v>203</v>
      </c>
      <c r="E209" t="s">
        <v>644</v>
      </c>
      <c r="F209" t="s">
        <v>39</v>
      </c>
      <c r="G209" t="s">
        <v>330</v>
      </c>
      <c r="H209">
        <v>216000</v>
      </c>
      <c r="I209" t="s">
        <v>25</v>
      </c>
      <c r="J209">
        <v>216000</v>
      </c>
      <c r="K209" t="s">
        <v>25</v>
      </c>
      <c r="L209" t="s">
        <v>41</v>
      </c>
      <c r="M209" s="20">
        <v>46028</v>
      </c>
      <c r="N209" s="20">
        <v>46080</v>
      </c>
      <c r="O209" t="s">
        <v>50</v>
      </c>
      <c r="P209" t="s">
        <v>1005</v>
      </c>
      <c r="Q209" t="s">
        <v>461</v>
      </c>
      <c r="R209" t="s">
        <v>29</v>
      </c>
      <c r="S209" t="s">
        <v>1015</v>
      </c>
      <c r="T209" t="str">
        <f>IF(OR(F209="Project - Competitive",F209="Project - Not Competitive"),"New Business","Upsell")</f>
        <v>New Business</v>
      </c>
      <c r="U209" t="str">
        <f>TEXT(M209,"mm/aaaa")</f>
        <v>01/2026</v>
      </c>
      <c r="V209" t="str">
        <f t="shared" si="6"/>
        <v/>
      </c>
      <c r="W209" s="26">
        <f t="shared" ca="1" si="7"/>
        <v>58</v>
      </c>
    </row>
    <row r="210" spans="1:23">
      <c r="A210" t="s">
        <v>645</v>
      </c>
      <c r="B210" t="s">
        <v>646</v>
      </c>
      <c r="C210" t="s">
        <v>647</v>
      </c>
      <c r="D210" t="s">
        <v>64</v>
      </c>
      <c r="E210" t="s">
        <v>648</v>
      </c>
      <c r="F210" t="s">
        <v>49</v>
      </c>
      <c r="G210" t="s">
        <v>40</v>
      </c>
      <c r="H210">
        <v>84000</v>
      </c>
      <c r="I210" t="s">
        <v>25</v>
      </c>
      <c r="J210">
        <v>84000</v>
      </c>
      <c r="K210" t="s">
        <v>25</v>
      </c>
      <c r="L210" t="s">
        <v>41</v>
      </c>
      <c r="M210" s="20">
        <v>46298</v>
      </c>
      <c r="N210" s="20">
        <v>46080</v>
      </c>
      <c r="O210" t="s">
        <v>50</v>
      </c>
      <c r="P210" t="s">
        <v>1005</v>
      </c>
      <c r="Q210" t="s">
        <v>394</v>
      </c>
      <c r="R210" t="s">
        <v>29</v>
      </c>
      <c r="S210" t="s">
        <v>1015</v>
      </c>
      <c r="T210" t="str">
        <f>IF(OR(F210="Project - Competitive",F210="Project - Not Competitive"),"New Business","Upsell")</f>
        <v>New Business</v>
      </c>
      <c r="U210" t="str">
        <f>TEXT(M210,"mm/aaaa")</f>
        <v>10/2026</v>
      </c>
      <c r="V210">
        <f t="shared" si="6"/>
        <v>218</v>
      </c>
      <c r="W210" s="26" t="str">
        <f t="shared" ca="1" si="7"/>
        <v/>
      </c>
    </row>
    <row r="211" spans="1:23">
      <c r="A211" t="s">
        <v>236</v>
      </c>
      <c r="B211" t="s">
        <v>237</v>
      </c>
      <c r="C211" t="s">
        <v>238</v>
      </c>
      <c r="D211" t="s">
        <v>102</v>
      </c>
      <c r="E211" t="s">
        <v>239</v>
      </c>
      <c r="F211" t="s">
        <v>82</v>
      </c>
      <c r="G211" t="s">
        <v>40</v>
      </c>
      <c r="H211">
        <v>667166.55000000005</v>
      </c>
      <c r="I211" t="s">
        <v>25</v>
      </c>
      <c r="J211">
        <v>667166.55000000005</v>
      </c>
      <c r="K211" t="s">
        <v>25</v>
      </c>
      <c r="L211" t="s">
        <v>41</v>
      </c>
      <c r="M211" s="20">
        <v>46051</v>
      </c>
      <c r="N211" s="20">
        <v>45941</v>
      </c>
      <c r="O211" t="s">
        <v>27</v>
      </c>
      <c r="P211" t="s">
        <v>1005</v>
      </c>
      <c r="Q211" t="s">
        <v>240</v>
      </c>
      <c r="R211" t="s">
        <v>29</v>
      </c>
      <c r="S211" t="s">
        <v>1012</v>
      </c>
      <c r="T211" t="str">
        <f>IF(OR(F211="Project - Competitive",F211="Project - Not Competitive"),"New Business","Upsell")</f>
        <v>Upsell</v>
      </c>
      <c r="U211" t="str">
        <f>TEXT(M211,"mm/aaaa")</f>
        <v>01/2026</v>
      </c>
      <c r="V211">
        <f t="shared" si="6"/>
        <v>110</v>
      </c>
      <c r="W211" s="26" t="str">
        <f t="shared" ca="1" si="7"/>
        <v/>
      </c>
    </row>
    <row r="212" spans="1:23">
      <c r="A212" t="s">
        <v>877</v>
      </c>
      <c r="B212" t="s">
        <v>385</v>
      </c>
      <c r="C212" t="s">
        <v>386</v>
      </c>
      <c r="D212" t="s">
        <v>21</v>
      </c>
      <c r="E212" t="s">
        <v>878</v>
      </c>
      <c r="F212" t="s">
        <v>82</v>
      </c>
      <c r="G212" t="s">
        <v>24</v>
      </c>
      <c r="H212">
        <v>3480000</v>
      </c>
      <c r="I212" t="s">
        <v>25</v>
      </c>
      <c r="J212">
        <v>1800000</v>
      </c>
      <c r="K212" t="s">
        <v>25</v>
      </c>
      <c r="L212" t="s">
        <v>41</v>
      </c>
      <c r="M212" s="20">
        <v>46203</v>
      </c>
      <c r="N212" s="20">
        <v>46026</v>
      </c>
      <c r="O212" t="s">
        <v>872</v>
      </c>
      <c r="P212" t="s">
        <v>1005</v>
      </c>
      <c r="Q212" t="s">
        <v>29</v>
      </c>
      <c r="R212" t="s">
        <v>29</v>
      </c>
      <c r="S212" t="s">
        <v>1012</v>
      </c>
      <c r="T212" t="str">
        <f>IF(OR(F212="Project - Competitive",F212="Project - Not Competitive"),"New Business","Upsell")</f>
        <v>Upsell</v>
      </c>
      <c r="U212" t="str">
        <f>TEXT(M212,"mm/aaaa")</f>
        <v>06/2026</v>
      </c>
      <c r="V212" t="str">
        <f t="shared" si="6"/>
        <v/>
      </c>
      <c r="W212" s="26">
        <f t="shared" ca="1" si="7"/>
        <v>112</v>
      </c>
    </row>
    <row r="213" spans="1:23">
      <c r="A213" t="s">
        <v>877</v>
      </c>
      <c r="B213" t="s">
        <v>385</v>
      </c>
      <c r="C213" t="s">
        <v>386</v>
      </c>
      <c r="D213" t="s">
        <v>21</v>
      </c>
      <c r="E213" t="s">
        <v>878</v>
      </c>
      <c r="F213" t="s">
        <v>82</v>
      </c>
      <c r="G213" t="s">
        <v>24</v>
      </c>
      <c r="H213">
        <v>3480000</v>
      </c>
      <c r="I213" t="s">
        <v>25</v>
      </c>
      <c r="J213">
        <v>1680000</v>
      </c>
      <c r="K213" t="s">
        <v>25</v>
      </c>
      <c r="L213" t="s">
        <v>41</v>
      </c>
      <c r="M213" s="20">
        <v>46203</v>
      </c>
      <c r="N213" s="20">
        <v>46026</v>
      </c>
      <c r="O213" t="s">
        <v>872</v>
      </c>
      <c r="P213" t="s">
        <v>1005</v>
      </c>
      <c r="Q213" t="s">
        <v>29</v>
      </c>
      <c r="R213" t="s">
        <v>29</v>
      </c>
      <c r="S213" t="s">
        <v>1012</v>
      </c>
      <c r="T213" t="str">
        <f>IF(OR(F213="Project - Competitive",F213="Project - Not Competitive"),"New Business","Upsell")</f>
        <v>Upsell</v>
      </c>
      <c r="U213" t="str">
        <f>TEXT(M213,"mm/aaaa")</f>
        <v>06/2026</v>
      </c>
      <c r="V213" t="str">
        <f t="shared" si="6"/>
        <v/>
      </c>
      <c r="W213" s="26">
        <f t="shared" ca="1" si="7"/>
        <v>112</v>
      </c>
    </row>
    <row r="214" spans="1:23">
      <c r="A214" t="s">
        <v>481</v>
      </c>
      <c r="B214" t="s">
        <v>482</v>
      </c>
      <c r="C214" t="s">
        <v>483</v>
      </c>
      <c r="D214" t="s">
        <v>55</v>
      </c>
      <c r="E214" t="s">
        <v>841</v>
      </c>
      <c r="F214" t="s">
        <v>23</v>
      </c>
      <c r="G214" t="s">
        <v>66</v>
      </c>
      <c r="H214">
        <v>151200</v>
      </c>
      <c r="I214" t="s">
        <v>25</v>
      </c>
      <c r="J214">
        <v>151200</v>
      </c>
      <c r="K214" t="s">
        <v>25</v>
      </c>
      <c r="L214" t="s">
        <v>41</v>
      </c>
      <c r="M214" s="20">
        <v>46142</v>
      </c>
      <c r="N214" s="20">
        <v>46044</v>
      </c>
      <c r="O214" t="s">
        <v>27</v>
      </c>
      <c r="P214" t="s">
        <v>1005</v>
      </c>
      <c r="Q214" t="s">
        <v>446</v>
      </c>
      <c r="R214" t="s">
        <v>29</v>
      </c>
      <c r="S214" t="s">
        <v>1012</v>
      </c>
      <c r="T214" t="str">
        <f>IF(OR(F214="Project - Competitive",F214="Project - Not Competitive"),"New Business","Upsell")</f>
        <v>Upsell</v>
      </c>
      <c r="U214" t="str">
        <f>TEXT(M214,"mm/aaaa")</f>
        <v>04/2026</v>
      </c>
      <c r="V214" t="str">
        <f t="shared" si="6"/>
        <v/>
      </c>
      <c r="W214" s="26">
        <f t="shared" ca="1" si="7"/>
        <v>94</v>
      </c>
    </row>
    <row r="215" spans="1:23">
      <c r="A215" t="s">
        <v>827</v>
      </c>
      <c r="B215" t="s">
        <v>696</v>
      </c>
      <c r="C215" t="s">
        <v>697</v>
      </c>
      <c r="D215" t="s">
        <v>328</v>
      </c>
      <c r="E215" t="s">
        <v>828</v>
      </c>
      <c r="F215" t="s">
        <v>23</v>
      </c>
      <c r="G215" t="s">
        <v>119</v>
      </c>
      <c r="H215">
        <v>100000</v>
      </c>
      <c r="I215" t="s">
        <v>25</v>
      </c>
      <c r="J215">
        <v>100000</v>
      </c>
      <c r="K215" t="s">
        <v>25</v>
      </c>
      <c r="L215" t="s">
        <v>41</v>
      </c>
      <c r="M215" s="20">
        <v>46173</v>
      </c>
      <c r="N215" s="20">
        <v>46108</v>
      </c>
      <c r="O215" t="s">
        <v>27</v>
      </c>
      <c r="P215" t="s">
        <v>1005</v>
      </c>
      <c r="Q215" t="s">
        <v>29</v>
      </c>
      <c r="R215" t="s">
        <v>29</v>
      </c>
      <c r="S215" t="s">
        <v>1012</v>
      </c>
      <c r="T215" t="str">
        <f>IF(OR(F215="Project - Competitive",F215="Project - Not Competitive"),"New Business","Upsell")</f>
        <v>Upsell</v>
      </c>
      <c r="U215" t="str">
        <f>TEXT(M215,"mm/aaaa")</f>
        <v>05/2026</v>
      </c>
      <c r="V215" t="str">
        <f t="shared" si="6"/>
        <v/>
      </c>
      <c r="W215" s="26">
        <f t="shared" ca="1" si="7"/>
        <v>30</v>
      </c>
    </row>
    <row r="216" spans="1:23">
      <c r="A216" t="s">
        <v>34</v>
      </c>
      <c r="B216" t="s">
        <v>35</v>
      </c>
      <c r="C216" t="s">
        <v>36</v>
      </c>
      <c r="D216" t="s">
        <v>37</v>
      </c>
      <c r="E216" t="s">
        <v>38</v>
      </c>
      <c r="F216" t="s">
        <v>39</v>
      </c>
      <c r="G216" t="s">
        <v>40</v>
      </c>
      <c r="H216">
        <v>85000</v>
      </c>
      <c r="I216" t="s">
        <v>25</v>
      </c>
      <c r="J216">
        <v>85000</v>
      </c>
      <c r="K216" t="s">
        <v>25</v>
      </c>
      <c r="L216" t="s">
        <v>41</v>
      </c>
      <c r="M216" s="20">
        <v>46041</v>
      </c>
      <c r="N216" s="20">
        <v>45807</v>
      </c>
      <c r="O216" t="s">
        <v>42</v>
      </c>
      <c r="P216" t="s">
        <v>1005</v>
      </c>
      <c r="Q216" t="s">
        <v>43</v>
      </c>
      <c r="R216" t="s">
        <v>29</v>
      </c>
      <c r="S216" t="s">
        <v>1015</v>
      </c>
      <c r="T216" t="str">
        <f>IF(OR(F216="Project - Competitive",F216="Project - Not Competitive"),"New Business","Upsell")</f>
        <v>New Business</v>
      </c>
      <c r="U216" t="str">
        <f>TEXT(M216,"mm/aaaa")</f>
        <v>01/2026</v>
      </c>
      <c r="V216">
        <f t="shared" si="6"/>
        <v>234</v>
      </c>
      <c r="W216" s="26" t="str">
        <f t="shared" ca="1" si="7"/>
        <v/>
      </c>
    </row>
    <row r="217" spans="1:23">
      <c r="A217" t="s">
        <v>873</v>
      </c>
      <c r="B217" t="s">
        <v>874</v>
      </c>
      <c r="C217" t="s">
        <v>875</v>
      </c>
      <c r="D217" t="s">
        <v>560</v>
      </c>
      <c r="E217" t="s">
        <v>876</v>
      </c>
      <c r="F217" t="s">
        <v>49</v>
      </c>
      <c r="G217" t="s">
        <v>24</v>
      </c>
      <c r="H217">
        <v>42000</v>
      </c>
      <c r="I217" t="s">
        <v>25</v>
      </c>
      <c r="J217">
        <v>42000</v>
      </c>
      <c r="K217" t="s">
        <v>25</v>
      </c>
      <c r="L217" t="s">
        <v>41</v>
      </c>
      <c r="M217" s="20">
        <v>46125</v>
      </c>
      <c r="N217" s="20">
        <v>46026</v>
      </c>
      <c r="O217" t="s">
        <v>50</v>
      </c>
      <c r="P217" t="s">
        <v>1018</v>
      </c>
      <c r="Q217" t="s">
        <v>29</v>
      </c>
      <c r="R217" t="s">
        <v>29</v>
      </c>
      <c r="S217" t="s">
        <v>1015</v>
      </c>
      <c r="T217" t="str">
        <f>IF(OR(F217="Project - Competitive",F217="Project - Not Competitive"),"New Business","Upsell")</f>
        <v>New Business</v>
      </c>
      <c r="U217" t="str">
        <f>TEXT(M217,"mm/aaaa")</f>
        <v>04/2026</v>
      </c>
      <c r="V217" t="str">
        <f t="shared" si="6"/>
        <v/>
      </c>
      <c r="W217" s="26">
        <f t="shared" ca="1" si="7"/>
        <v>112</v>
      </c>
    </row>
    <row r="218" spans="1:23">
      <c r="A218" t="s">
        <v>508</v>
      </c>
      <c r="B218" t="s">
        <v>19</v>
      </c>
      <c r="C218" t="s">
        <v>20</v>
      </c>
      <c r="D218" t="s">
        <v>21</v>
      </c>
      <c r="E218" t="s">
        <v>460</v>
      </c>
      <c r="F218" t="s">
        <v>82</v>
      </c>
      <c r="G218" t="s">
        <v>24</v>
      </c>
      <c r="H218">
        <v>500000</v>
      </c>
      <c r="I218" t="s">
        <v>25</v>
      </c>
      <c r="J218">
        <v>185000</v>
      </c>
      <c r="K218" t="s">
        <v>25</v>
      </c>
      <c r="L218" t="s">
        <v>41</v>
      </c>
      <c r="M218" s="20">
        <v>46142</v>
      </c>
      <c r="N218" s="20">
        <v>46052</v>
      </c>
      <c r="O218" t="s">
        <v>27</v>
      </c>
      <c r="P218" t="s">
        <v>1005</v>
      </c>
      <c r="Q218" t="s">
        <v>510</v>
      </c>
      <c r="R218" t="s">
        <v>29</v>
      </c>
      <c r="S218" t="s">
        <v>1012</v>
      </c>
      <c r="T218" t="str">
        <f>IF(OR(F218="Project - Competitive",F218="Project - Not Competitive"),"New Business","Upsell")</f>
        <v>Upsell</v>
      </c>
      <c r="U218" t="str">
        <f>TEXT(M218,"mm/aaaa")</f>
        <v>04/2026</v>
      </c>
      <c r="V218" t="str">
        <f t="shared" si="6"/>
        <v/>
      </c>
      <c r="W218" s="26">
        <f t="shared" ca="1" si="7"/>
        <v>86</v>
      </c>
    </row>
    <row r="219" spans="1:23">
      <c r="A219" t="s">
        <v>508</v>
      </c>
      <c r="B219" t="s">
        <v>19</v>
      </c>
      <c r="C219" t="s">
        <v>20</v>
      </c>
      <c r="D219" t="s">
        <v>21</v>
      </c>
      <c r="E219" t="s">
        <v>509</v>
      </c>
      <c r="F219" t="s">
        <v>82</v>
      </c>
      <c r="G219" t="s">
        <v>24</v>
      </c>
      <c r="H219">
        <v>500000</v>
      </c>
      <c r="I219" t="s">
        <v>25</v>
      </c>
      <c r="J219">
        <v>315000</v>
      </c>
      <c r="K219" t="s">
        <v>25</v>
      </c>
      <c r="L219" t="s">
        <v>41</v>
      </c>
      <c r="M219" s="20">
        <v>46142</v>
      </c>
      <c r="N219" s="20">
        <v>46052</v>
      </c>
      <c r="O219" t="s">
        <v>27</v>
      </c>
      <c r="P219" t="s">
        <v>1005</v>
      </c>
      <c r="Q219" t="s">
        <v>510</v>
      </c>
      <c r="R219" t="s">
        <v>29</v>
      </c>
      <c r="S219" t="s">
        <v>1012</v>
      </c>
      <c r="T219" t="str">
        <f>IF(OR(F219="Project - Competitive",F219="Project - Not Competitive"),"New Business","Upsell")</f>
        <v>Upsell</v>
      </c>
      <c r="U219" t="str">
        <f>TEXT(M219,"mm/aaaa")</f>
        <v>04/2026</v>
      </c>
      <c r="V219" t="str">
        <f t="shared" si="6"/>
        <v/>
      </c>
      <c r="W219" s="26">
        <f t="shared" ca="1" si="7"/>
        <v>86</v>
      </c>
    </row>
    <row r="220" spans="1:23">
      <c r="A220" t="s">
        <v>539</v>
      </c>
      <c r="B220" t="s">
        <v>540</v>
      </c>
      <c r="C220" t="s">
        <v>1066</v>
      </c>
      <c r="D220" t="s">
        <v>298</v>
      </c>
      <c r="E220" t="s">
        <v>1058</v>
      </c>
      <c r="F220" t="s">
        <v>49</v>
      </c>
      <c r="G220" t="s">
        <v>66</v>
      </c>
      <c r="H220">
        <v>362880</v>
      </c>
      <c r="I220" t="s">
        <v>25</v>
      </c>
      <c r="J220">
        <v>48000</v>
      </c>
      <c r="K220" t="s">
        <v>25</v>
      </c>
      <c r="L220" t="s">
        <v>41</v>
      </c>
      <c r="M220" s="20">
        <v>46142</v>
      </c>
      <c r="N220" s="20">
        <v>46175</v>
      </c>
      <c r="O220" t="s">
        <v>541</v>
      </c>
      <c r="P220" t="s">
        <v>1018</v>
      </c>
      <c r="Q220" t="s">
        <v>105</v>
      </c>
      <c r="R220" t="s">
        <v>29</v>
      </c>
      <c r="S220" t="s">
        <v>1015</v>
      </c>
      <c r="T220" t="str">
        <f>IF(OR(F220="Project - Competitive",F220="Project - Not Competitive"),"New Business","Upsell")</f>
        <v>New Business</v>
      </c>
      <c r="U220" t="str">
        <f>TEXT(M220,"mm/aaaa")</f>
        <v>04/2026</v>
      </c>
      <c r="V220" t="str">
        <f t="shared" si="6"/>
        <v/>
      </c>
      <c r="W220" s="26">
        <f t="shared" ca="1" si="7"/>
        <v>0</v>
      </c>
    </row>
    <row r="221" spans="1:23">
      <c r="A221" t="s">
        <v>786</v>
      </c>
      <c r="B221" t="s">
        <v>787</v>
      </c>
      <c r="C221" t="s">
        <v>788</v>
      </c>
      <c r="D221" t="s">
        <v>64</v>
      </c>
      <c r="E221" t="s">
        <v>790</v>
      </c>
      <c r="F221" t="s">
        <v>49</v>
      </c>
      <c r="G221" t="s">
        <v>330</v>
      </c>
      <c r="H221">
        <v>31256.14</v>
      </c>
      <c r="I221" t="s">
        <v>25</v>
      </c>
      <c r="J221">
        <v>21000</v>
      </c>
      <c r="K221" t="s">
        <v>25</v>
      </c>
      <c r="L221" t="s">
        <v>41</v>
      </c>
      <c r="M221" s="20">
        <v>46171</v>
      </c>
      <c r="N221" s="20">
        <v>46101</v>
      </c>
      <c r="O221" t="s">
        <v>135</v>
      </c>
      <c r="P221" t="s">
        <v>1018</v>
      </c>
      <c r="Q221" t="s">
        <v>165</v>
      </c>
      <c r="R221" t="s">
        <v>29</v>
      </c>
      <c r="S221" t="s">
        <v>1014</v>
      </c>
      <c r="T221" t="str">
        <f>IF(OR(F221="Project - Competitive",F221="Project - Not Competitive"),"New Business","Upsell")</f>
        <v>New Business</v>
      </c>
      <c r="U221" t="str">
        <f>TEXT(M221,"mm/aaaa")</f>
        <v>05/2026</v>
      </c>
      <c r="V221" t="str">
        <f t="shared" si="6"/>
        <v/>
      </c>
      <c r="W221" s="26">
        <f t="shared" ca="1" si="7"/>
        <v>37</v>
      </c>
    </row>
    <row r="222" spans="1:23">
      <c r="A222" t="s">
        <v>842</v>
      </c>
      <c r="B222" t="s">
        <v>843</v>
      </c>
      <c r="C222" t="s">
        <v>844</v>
      </c>
      <c r="D222" t="s">
        <v>298</v>
      </c>
      <c r="E222" t="s">
        <v>845</v>
      </c>
      <c r="F222" t="s">
        <v>39</v>
      </c>
      <c r="G222" t="s">
        <v>119</v>
      </c>
      <c r="H222">
        <v>1887511.68</v>
      </c>
      <c r="I222" t="s">
        <v>25</v>
      </c>
      <c r="J222">
        <v>1887511.68</v>
      </c>
      <c r="K222" t="s">
        <v>25</v>
      </c>
      <c r="L222" t="s">
        <v>41</v>
      </c>
      <c r="M222" s="20">
        <v>46141</v>
      </c>
      <c r="N222" s="20">
        <v>46111</v>
      </c>
      <c r="O222" t="s">
        <v>314</v>
      </c>
      <c r="P222" t="s">
        <v>1018</v>
      </c>
      <c r="Q222" t="s">
        <v>106</v>
      </c>
      <c r="R222" t="s">
        <v>29</v>
      </c>
      <c r="S222" t="s">
        <v>1016</v>
      </c>
      <c r="T222" t="str">
        <f>IF(OR(F222="Project - Competitive",F222="Project - Not Competitive"),"New Business","Upsell")</f>
        <v>New Business</v>
      </c>
      <c r="U222" t="str">
        <f>TEXT(M222,"mm/aaaa")</f>
        <v>04/2026</v>
      </c>
      <c r="V222" t="str">
        <f t="shared" si="6"/>
        <v/>
      </c>
      <c r="W222" s="26">
        <f t="shared" ca="1" si="7"/>
        <v>27</v>
      </c>
    </row>
    <row r="223" spans="1:23">
      <c r="A223" t="s">
        <v>281</v>
      </c>
      <c r="B223" t="s">
        <v>282</v>
      </c>
      <c r="C223" t="s">
        <v>283</v>
      </c>
      <c r="D223" t="s">
        <v>102</v>
      </c>
      <c r="E223" t="s">
        <v>284</v>
      </c>
      <c r="F223" t="s">
        <v>82</v>
      </c>
      <c r="G223" t="s">
        <v>40</v>
      </c>
      <c r="H223">
        <v>175660.68</v>
      </c>
      <c r="I223" t="s">
        <v>25</v>
      </c>
      <c r="J223">
        <v>175660.68</v>
      </c>
      <c r="K223" t="s">
        <v>25</v>
      </c>
      <c r="L223" t="s">
        <v>41</v>
      </c>
      <c r="M223" s="20">
        <v>46053</v>
      </c>
      <c r="N223" s="20">
        <v>45985</v>
      </c>
      <c r="O223" t="s">
        <v>27</v>
      </c>
      <c r="P223" t="s">
        <v>1005</v>
      </c>
      <c r="Q223" t="s">
        <v>285</v>
      </c>
      <c r="R223" t="s">
        <v>29</v>
      </c>
      <c r="S223" t="s">
        <v>1012</v>
      </c>
      <c r="T223" t="str">
        <f>IF(OR(F223="Project - Competitive",F223="Project - Not Competitive"),"New Business","Upsell")</f>
        <v>Upsell</v>
      </c>
      <c r="U223" t="str">
        <f>TEXT(M223,"mm/aaaa")</f>
        <v>01/2026</v>
      </c>
      <c r="V223">
        <f t="shared" si="6"/>
        <v>68</v>
      </c>
      <c r="W223" s="26" t="str">
        <f t="shared" ca="1" si="7"/>
        <v/>
      </c>
    </row>
    <row r="224" spans="1:23">
      <c r="A224" t="s">
        <v>545</v>
      </c>
      <c r="B224" t="s">
        <v>546</v>
      </c>
      <c r="C224" t="s">
        <v>547</v>
      </c>
      <c r="D224" t="s">
        <v>47</v>
      </c>
      <c r="E224" t="s">
        <v>548</v>
      </c>
      <c r="F224" t="s">
        <v>23</v>
      </c>
      <c r="G224" t="s">
        <v>119</v>
      </c>
      <c r="H224">
        <v>300000</v>
      </c>
      <c r="I224" t="s">
        <v>25</v>
      </c>
      <c r="J224">
        <v>300000</v>
      </c>
      <c r="K224" t="s">
        <v>25</v>
      </c>
      <c r="L224" t="s">
        <v>41</v>
      </c>
      <c r="M224" s="20">
        <v>46139</v>
      </c>
      <c r="N224" s="20">
        <v>46267</v>
      </c>
      <c r="O224" t="s">
        <v>1006</v>
      </c>
      <c r="P224" t="s">
        <v>1005</v>
      </c>
      <c r="Q224" t="s">
        <v>97</v>
      </c>
      <c r="R224" t="s">
        <v>29</v>
      </c>
      <c r="S224" t="s">
        <v>1012</v>
      </c>
      <c r="T224" t="str">
        <f>IF(OR(F224="Project - Competitive",F224="Project - Not Competitive"),"New Business","Upsell")</f>
        <v>Upsell</v>
      </c>
      <c r="U224" t="str">
        <f>TEXT(M224,"mm/aaaa")</f>
        <v>04/2026</v>
      </c>
      <c r="V224" t="str">
        <f t="shared" si="6"/>
        <v/>
      </c>
      <c r="W224" s="26">
        <f t="shared" ca="1" si="7"/>
        <v>0</v>
      </c>
    </row>
    <row r="225" spans="1:23">
      <c r="A225" t="s">
        <v>61</v>
      </c>
      <c r="B225" t="s">
        <v>62</v>
      </c>
      <c r="C225" t="s">
        <v>63</v>
      </c>
      <c r="D225" t="s">
        <v>64</v>
      </c>
      <c r="E225" t="s">
        <v>65</v>
      </c>
      <c r="F225" t="s">
        <v>39</v>
      </c>
      <c r="G225" t="s">
        <v>66</v>
      </c>
      <c r="H225">
        <v>30000</v>
      </c>
      <c r="I225" t="s">
        <v>25</v>
      </c>
      <c r="J225">
        <v>30000</v>
      </c>
      <c r="K225" t="s">
        <v>25</v>
      </c>
      <c r="L225" t="s">
        <v>41</v>
      </c>
      <c r="M225" s="20">
        <v>46171</v>
      </c>
      <c r="N225" s="20">
        <v>45887</v>
      </c>
      <c r="O225" t="s">
        <v>50</v>
      </c>
      <c r="P225" t="s">
        <v>1018</v>
      </c>
      <c r="Q225" t="s">
        <v>51</v>
      </c>
      <c r="R225" t="s">
        <v>29</v>
      </c>
      <c r="S225" t="s">
        <v>1015</v>
      </c>
      <c r="T225" t="str">
        <f>IF(OR(F225="Project - Competitive",F225="Project - Not Competitive"),"New Business","Upsell")</f>
        <v>New Business</v>
      </c>
      <c r="U225" t="str">
        <f>TEXT(M225,"mm/aaaa")</f>
        <v>05/2026</v>
      </c>
      <c r="V225" t="str">
        <f t="shared" si="6"/>
        <v/>
      </c>
      <c r="W225" s="26">
        <f t="shared" ca="1" si="7"/>
        <v>251</v>
      </c>
    </row>
    <row r="226" spans="1:23">
      <c r="A226" t="s">
        <v>677</v>
      </c>
      <c r="B226" t="s">
        <v>523</v>
      </c>
      <c r="C226" t="s">
        <v>524</v>
      </c>
      <c r="D226" t="s">
        <v>102</v>
      </c>
      <c r="E226" t="s">
        <v>525</v>
      </c>
      <c r="F226" t="s">
        <v>82</v>
      </c>
      <c r="G226" t="s">
        <v>40</v>
      </c>
      <c r="H226">
        <v>124000</v>
      </c>
      <c r="I226" t="s">
        <v>25</v>
      </c>
      <c r="J226">
        <v>124000</v>
      </c>
      <c r="K226" t="s">
        <v>25</v>
      </c>
      <c r="L226" t="s">
        <v>41</v>
      </c>
      <c r="M226" s="20">
        <v>46106</v>
      </c>
      <c r="N226" s="20">
        <v>46145</v>
      </c>
      <c r="O226" t="s">
        <v>27</v>
      </c>
      <c r="P226" t="s">
        <v>1005</v>
      </c>
      <c r="Q226" t="s">
        <v>532</v>
      </c>
      <c r="R226" t="s">
        <v>29</v>
      </c>
      <c r="S226" t="s">
        <v>1012</v>
      </c>
      <c r="T226" t="str">
        <f>IF(OR(F226="Project - Competitive",F226="Project - Not Competitive"),"New Business","Upsell")</f>
        <v>Upsell</v>
      </c>
      <c r="U226" t="str">
        <f>TEXT(M226,"mm/aaaa")</f>
        <v>03/2026</v>
      </c>
      <c r="V226" t="str">
        <f t="shared" si="6"/>
        <v/>
      </c>
      <c r="W226" s="26" t="str">
        <f t="shared" ca="1" si="7"/>
        <v/>
      </c>
    </row>
    <row r="227" spans="1:23">
      <c r="A227" t="s">
        <v>44</v>
      </c>
      <c r="B227" t="s">
        <v>45</v>
      </c>
      <c r="C227" t="s">
        <v>46</v>
      </c>
      <c r="D227" t="s">
        <v>47</v>
      </c>
      <c r="E227" t="s">
        <v>48</v>
      </c>
      <c r="F227" t="s">
        <v>49</v>
      </c>
      <c r="G227" t="s">
        <v>40</v>
      </c>
      <c r="H227">
        <v>40000</v>
      </c>
      <c r="I227" t="s">
        <v>25</v>
      </c>
      <c r="J227">
        <v>40000</v>
      </c>
      <c r="K227" t="s">
        <v>25</v>
      </c>
      <c r="L227" t="s">
        <v>41</v>
      </c>
      <c r="M227" s="20">
        <v>46266</v>
      </c>
      <c r="N227" s="20">
        <v>45859</v>
      </c>
      <c r="O227" t="s">
        <v>50</v>
      </c>
      <c r="P227" t="s">
        <v>1005</v>
      </c>
      <c r="Q227" t="s">
        <v>51</v>
      </c>
      <c r="R227" t="s">
        <v>29</v>
      </c>
      <c r="S227" t="s">
        <v>1015</v>
      </c>
      <c r="T227" t="str">
        <f>IF(OR(F227="Project - Competitive",F227="Project - Not Competitive"),"New Business","Upsell")</f>
        <v>New Business</v>
      </c>
      <c r="U227" t="str">
        <f>TEXT(M227,"mm/aaaa")</f>
        <v>09/2026</v>
      </c>
      <c r="V227">
        <f t="shared" si="6"/>
        <v>407</v>
      </c>
      <c r="W227" s="26" t="str">
        <f t="shared" ca="1" si="7"/>
        <v/>
      </c>
    </row>
    <row r="228" spans="1:23">
      <c r="A228" t="s">
        <v>382</v>
      </c>
      <c r="B228" t="s">
        <v>197</v>
      </c>
      <c r="C228" t="s">
        <v>1062</v>
      </c>
      <c r="D228" t="s">
        <v>110</v>
      </c>
      <c r="E228" t="s">
        <v>1046</v>
      </c>
      <c r="F228" t="s">
        <v>23</v>
      </c>
      <c r="G228" t="s">
        <v>40</v>
      </c>
      <c r="H228">
        <v>996914.04</v>
      </c>
      <c r="I228" t="s">
        <v>25</v>
      </c>
      <c r="J228">
        <v>996914.04</v>
      </c>
      <c r="K228" t="s">
        <v>25</v>
      </c>
      <c r="L228" t="s">
        <v>383</v>
      </c>
      <c r="M228" s="20">
        <v>46057</v>
      </c>
      <c r="N228" s="20">
        <v>46003</v>
      </c>
      <c r="O228" t="s">
        <v>27</v>
      </c>
      <c r="P228" t="s">
        <v>1005</v>
      </c>
      <c r="Q228" t="s">
        <v>29</v>
      </c>
      <c r="R228" t="s">
        <v>198</v>
      </c>
      <c r="S228" t="s">
        <v>1012</v>
      </c>
      <c r="T228" t="str">
        <f>IF(OR(F228="Project - Competitive",F228="Project - Not Competitive"),"New Business","Upsell")</f>
        <v>Upsell</v>
      </c>
      <c r="U228" t="str">
        <f>TEXT(M228,"mm/aaaa")</f>
        <v>02/2026</v>
      </c>
      <c r="V228">
        <f t="shared" si="6"/>
        <v>54</v>
      </c>
      <c r="W228" s="26" t="str">
        <f t="shared" ca="1" si="7"/>
        <v/>
      </c>
    </row>
    <row r="229" spans="1:23">
      <c r="A229" t="s">
        <v>699</v>
      </c>
      <c r="B229" t="s">
        <v>517</v>
      </c>
      <c r="C229" t="s">
        <v>518</v>
      </c>
      <c r="D229" t="s">
        <v>102</v>
      </c>
      <c r="E229" t="s">
        <v>700</v>
      </c>
      <c r="F229" t="s">
        <v>23</v>
      </c>
      <c r="G229" t="s">
        <v>119</v>
      </c>
      <c r="H229">
        <v>550700.35</v>
      </c>
      <c r="I229" t="s">
        <v>25</v>
      </c>
      <c r="J229">
        <v>550700.35</v>
      </c>
      <c r="K229" t="s">
        <v>25</v>
      </c>
      <c r="L229" t="s">
        <v>383</v>
      </c>
      <c r="M229" s="20">
        <v>46173</v>
      </c>
      <c r="N229" s="20">
        <v>46176</v>
      </c>
      <c r="O229" t="s">
        <v>27</v>
      </c>
      <c r="P229" t="s">
        <v>1005</v>
      </c>
      <c r="Q229" t="s">
        <v>701</v>
      </c>
      <c r="R229" t="s">
        <v>122</v>
      </c>
      <c r="S229" t="s">
        <v>1012</v>
      </c>
      <c r="T229" t="str">
        <f>IF(OR(F229="Project - Competitive",F229="Project - Not Competitive"),"New Business","Upsell")</f>
        <v>Upsell</v>
      </c>
      <c r="U229" t="str">
        <f>TEXT(M229,"mm/aaaa")</f>
        <v>05/2026</v>
      </c>
      <c r="V229" t="str">
        <f t="shared" si="6"/>
        <v/>
      </c>
      <c r="W229" s="26">
        <f t="shared" ca="1" si="7"/>
        <v>0</v>
      </c>
    </row>
    <row r="230" spans="1:23">
      <c r="A230" t="s">
        <v>514</v>
      </c>
      <c r="B230" t="s">
        <v>448</v>
      </c>
      <c r="C230" t="s">
        <v>449</v>
      </c>
      <c r="D230" t="s">
        <v>328</v>
      </c>
      <c r="E230" t="s">
        <v>761</v>
      </c>
      <c r="F230" t="s">
        <v>23</v>
      </c>
      <c r="G230" t="s">
        <v>40</v>
      </c>
      <c r="H230">
        <v>11948.39</v>
      </c>
      <c r="I230" t="s">
        <v>25</v>
      </c>
      <c r="J230">
        <v>11948.39</v>
      </c>
      <c r="K230" t="s">
        <v>25</v>
      </c>
      <c r="L230" t="s">
        <v>33</v>
      </c>
      <c r="M230" s="20">
        <v>46107</v>
      </c>
      <c r="N230" s="20">
        <v>46083</v>
      </c>
      <c r="O230" t="s">
        <v>27</v>
      </c>
      <c r="P230" t="s">
        <v>58</v>
      </c>
      <c r="Q230" t="s">
        <v>451</v>
      </c>
      <c r="R230" t="s">
        <v>73</v>
      </c>
      <c r="S230" t="s">
        <v>1012</v>
      </c>
      <c r="T230" t="str">
        <f>IF(OR(F230="Project - Competitive",F230="Project - Not Competitive"),"New Business","Upsell")</f>
        <v>Upsell</v>
      </c>
      <c r="U230" t="str">
        <f>TEXT(M230,"mm/aaaa")</f>
        <v>03/2026</v>
      </c>
      <c r="V230">
        <f t="shared" si="6"/>
        <v>24</v>
      </c>
      <c r="W230" s="26" t="str">
        <f t="shared" ca="1" si="7"/>
        <v/>
      </c>
    </row>
    <row r="231" spans="1:23">
      <c r="A231" t="s">
        <v>970</v>
      </c>
      <c r="B231" t="s">
        <v>124</v>
      </c>
      <c r="C231" t="s">
        <v>125</v>
      </c>
      <c r="D231" t="s">
        <v>126</v>
      </c>
      <c r="E231" t="s">
        <v>575</v>
      </c>
      <c r="F231" t="s">
        <v>23</v>
      </c>
      <c r="G231" t="s">
        <v>330</v>
      </c>
      <c r="H231">
        <v>557613.6</v>
      </c>
      <c r="I231" t="s">
        <v>25</v>
      </c>
      <c r="J231">
        <v>557613.6</v>
      </c>
      <c r="K231" t="s">
        <v>25</v>
      </c>
      <c r="L231" t="s">
        <v>33</v>
      </c>
      <c r="M231" s="20">
        <v>46203</v>
      </c>
      <c r="N231" s="20">
        <v>46125</v>
      </c>
      <c r="O231" t="s">
        <v>314</v>
      </c>
      <c r="P231" t="s">
        <v>1018</v>
      </c>
      <c r="Q231" t="s">
        <v>73</v>
      </c>
      <c r="R231" t="s">
        <v>29</v>
      </c>
      <c r="S231" t="s">
        <v>1016</v>
      </c>
      <c r="T231" t="str">
        <f>IF(OR(F231="Project - Competitive",F231="Project - Not Competitive"),"New Business","Upsell")</f>
        <v>Upsell</v>
      </c>
      <c r="U231" t="str">
        <f>TEXT(M231,"mm/aaaa")</f>
        <v>06/2026</v>
      </c>
      <c r="V231" t="str">
        <f t="shared" si="6"/>
        <v/>
      </c>
      <c r="W231" s="26">
        <f t="shared" ca="1" si="7"/>
        <v>13</v>
      </c>
    </row>
    <row r="232" spans="1:23">
      <c r="A232" t="s">
        <v>911</v>
      </c>
      <c r="B232" t="s">
        <v>124</v>
      </c>
      <c r="C232" t="s">
        <v>125</v>
      </c>
      <c r="D232" t="s">
        <v>126</v>
      </c>
      <c r="E232" t="s">
        <v>824</v>
      </c>
      <c r="F232" t="s">
        <v>82</v>
      </c>
      <c r="G232" t="s">
        <v>330</v>
      </c>
      <c r="H232">
        <v>883034.4</v>
      </c>
      <c r="I232" t="s">
        <v>25</v>
      </c>
      <c r="J232">
        <v>883034.4</v>
      </c>
      <c r="K232" t="s">
        <v>25</v>
      </c>
      <c r="L232" t="s">
        <v>33</v>
      </c>
      <c r="M232" s="20">
        <v>46203</v>
      </c>
      <c r="N232" s="20">
        <v>46238</v>
      </c>
      <c r="O232" t="s">
        <v>872</v>
      </c>
      <c r="P232" t="s">
        <v>1018</v>
      </c>
      <c r="Q232" t="s">
        <v>73</v>
      </c>
      <c r="R232" t="s">
        <v>29</v>
      </c>
      <c r="S232" t="s">
        <v>1012</v>
      </c>
      <c r="T232" t="str">
        <f>IF(OR(F232="Project - Competitive",F232="Project - Not Competitive"),"New Business","Upsell")</f>
        <v>Upsell</v>
      </c>
      <c r="U232" t="str">
        <f>TEXT(M232,"mm/aaaa")</f>
        <v>06/2026</v>
      </c>
      <c r="V232" t="str">
        <f t="shared" si="6"/>
        <v/>
      </c>
      <c r="W232" s="26">
        <f t="shared" ca="1" si="7"/>
        <v>0</v>
      </c>
    </row>
    <row r="233" spans="1:23" ht="14.4" customHeight="1">
      <c r="A233" t="s">
        <v>186</v>
      </c>
      <c r="B233" t="s">
        <v>187</v>
      </c>
      <c r="C233" t="s">
        <v>188</v>
      </c>
      <c r="D233" t="s">
        <v>47</v>
      </c>
      <c r="E233" t="s">
        <v>193</v>
      </c>
      <c r="F233" t="s">
        <v>190</v>
      </c>
      <c r="G233" t="s">
        <v>119</v>
      </c>
      <c r="H233">
        <v>36000</v>
      </c>
      <c r="I233" t="s">
        <v>25</v>
      </c>
      <c r="J233">
        <v>12000</v>
      </c>
      <c r="K233" t="s">
        <v>25</v>
      </c>
      <c r="L233" t="s">
        <v>33</v>
      </c>
      <c r="M233" s="20">
        <v>46202</v>
      </c>
      <c r="N233" s="20">
        <v>45950</v>
      </c>
      <c r="O233" t="s">
        <v>135</v>
      </c>
      <c r="P233" t="s">
        <v>1018</v>
      </c>
      <c r="Q233" t="s">
        <v>191</v>
      </c>
      <c r="R233" t="s">
        <v>29</v>
      </c>
      <c r="S233" t="s">
        <v>1014</v>
      </c>
      <c r="T233" t="str">
        <f>IF(OR(F233="Project - Competitive",F233="Project - Not Competitive"),"New Business","Upsell")</f>
        <v>Upsell</v>
      </c>
      <c r="U233" t="str">
        <f>TEXT(M233,"mm/aaaa")</f>
        <v>06/2026</v>
      </c>
      <c r="V233" t="str">
        <f t="shared" si="6"/>
        <v/>
      </c>
      <c r="W233" s="26">
        <f t="shared" ca="1" si="7"/>
        <v>188</v>
      </c>
    </row>
    <row r="234" spans="1:23">
      <c r="A234" t="s">
        <v>899</v>
      </c>
      <c r="B234" t="s">
        <v>900</v>
      </c>
      <c r="C234" t="s">
        <v>901</v>
      </c>
      <c r="D234" t="s">
        <v>298</v>
      </c>
      <c r="E234" t="s">
        <v>902</v>
      </c>
      <c r="F234" t="s">
        <v>39</v>
      </c>
      <c r="G234" t="s">
        <v>535</v>
      </c>
      <c r="H234">
        <v>100000</v>
      </c>
      <c r="I234" t="s">
        <v>25</v>
      </c>
      <c r="J234">
        <v>100000</v>
      </c>
      <c r="K234" t="s">
        <v>25</v>
      </c>
      <c r="L234" t="s">
        <v>33</v>
      </c>
      <c r="M234" s="20">
        <v>46203</v>
      </c>
      <c r="N234" s="20">
        <v>46177</v>
      </c>
      <c r="O234" t="s">
        <v>50</v>
      </c>
      <c r="P234" t="s">
        <v>1018</v>
      </c>
      <c r="Q234" t="s">
        <v>165</v>
      </c>
      <c r="R234" t="s">
        <v>29</v>
      </c>
      <c r="S234" t="s">
        <v>1015</v>
      </c>
      <c r="T234" t="str">
        <f>IF(OR(F234="Project - Competitive",F234="Project - Not Competitive"),"New Business","Upsell")</f>
        <v>New Business</v>
      </c>
      <c r="U234" t="str">
        <f>TEXT(M234,"mm/aaaa")</f>
        <v>06/2026</v>
      </c>
      <c r="V234" t="str">
        <f t="shared" si="6"/>
        <v/>
      </c>
      <c r="W234" s="26">
        <f t="shared" ca="1" si="7"/>
        <v>0</v>
      </c>
    </row>
    <row r="235" spans="1:23">
      <c r="A235" t="s">
        <v>493</v>
      </c>
      <c r="B235" t="s">
        <v>494</v>
      </c>
      <c r="C235" t="s">
        <v>495</v>
      </c>
      <c r="D235" t="s">
        <v>126</v>
      </c>
      <c r="E235" t="s">
        <v>499</v>
      </c>
      <c r="F235" t="s">
        <v>23</v>
      </c>
      <c r="G235" t="s">
        <v>119</v>
      </c>
      <c r="H235">
        <v>4565828.57</v>
      </c>
      <c r="I235" t="s">
        <v>25</v>
      </c>
      <c r="J235">
        <v>1162468.52</v>
      </c>
      <c r="K235" t="s">
        <v>25</v>
      </c>
      <c r="L235" t="s">
        <v>33</v>
      </c>
      <c r="M235" s="20">
        <v>46203</v>
      </c>
      <c r="N235" s="20">
        <v>46048</v>
      </c>
      <c r="O235" t="s">
        <v>27</v>
      </c>
      <c r="P235" t="s">
        <v>58</v>
      </c>
      <c r="Q235" t="s">
        <v>164</v>
      </c>
      <c r="R235" t="s">
        <v>29</v>
      </c>
      <c r="S235" t="s">
        <v>1012</v>
      </c>
      <c r="T235" t="str">
        <f>IF(OR(F235="Project - Competitive",F235="Project - Not Competitive"),"New Business","Upsell")</f>
        <v>Upsell</v>
      </c>
      <c r="U235" t="str">
        <f>TEXT(M235,"mm/aaaa")</f>
        <v>06/2026</v>
      </c>
      <c r="V235" t="str">
        <f t="shared" si="6"/>
        <v/>
      </c>
      <c r="W235" s="26">
        <f t="shared" ca="1" si="7"/>
        <v>90</v>
      </c>
    </row>
    <row r="236" spans="1:23">
      <c r="A236" t="s">
        <v>649</v>
      </c>
      <c r="B236" t="s">
        <v>650</v>
      </c>
      <c r="C236" t="s">
        <v>651</v>
      </c>
      <c r="D236" t="s">
        <v>37</v>
      </c>
      <c r="E236" t="s">
        <v>655</v>
      </c>
      <c r="F236" t="s">
        <v>39</v>
      </c>
      <c r="G236" t="s">
        <v>119</v>
      </c>
      <c r="H236">
        <v>2344909.7999999998</v>
      </c>
      <c r="I236" t="s">
        <v>25</v>
      </c>
      <c r="J236">
        <v>768956.4</v>
      </c>
      <c r="K236" t="s">
        <v>25</v>
      </c>
      <c r="L236" t="s">
        <v>33</v>
      </c>
      <c r="M236" s="20">
        <v>46171</v>
      </c>
      <c r="N236" s="20">
        <v>46080</v>
      </c>
      <c r="O236" t="s">
        <v>135</v>
      </c>
      <c r="P236" t="s">
        <v>58</v>
      </c>
      <c r="Q236" t="s">
        <v>446</v>
      </c>
      <c r="R236" t="s">
        <v>29</v>
      </c>
      <c r="S236" t="s">
        <v>1014</v>
      </c>
      <c r="T236" t="str">
        <f>IF(OR(F236="Project - Competitive",F236="Project - Not Competitive"),"New Business","Upsell")</f>
        <v>New Business</v>
      </c>
      <c r="U236" t="str">
        <f>TEXT(M236,"mm/aaaa")</f>
        <v>05/2026</v>
      </c>
      <c r="V236" t="str">
        <f t="shared" si="6"/>
        <v/>
      </c>
      <c r="W236" s="26">
        <f t="shared" ca="1" si="7"/>
        <v>58</v>
      </c>
    </row>
    <row r="237" spans="1:23">
      <c r="A237" t="s">
        <v>725</v>
      </c>
      <c r="B237" t="s">
        <v>726</v>
      </c>
      <c r="C237" t="s">
        <v>727</v>
      </c>
      <c r="D237" t="s">
        <v>203</v>
      </c>
      <c r="E237" t="s">
        <v>728</v>
      </c>
      <c r="F237" t="s">
        <v>39</v>
      </c>
      <c r="G237" t="s">
        <v>119</v>
      </c>
      <c r="H237">
        <v>894521</v>
      </c>
      <c r="I237" t="s">
        <v>25</v>
      </c>
      <c r="J237">
        <v>275800.2</v>
      </c>
      <c r="K237" t="s">
        <v>25</v>
      </c>
      <c r="L237" t="s">
        <v>33</v>
      </c>
      <c r="M237" s="20">
        <v>46117</v>
      </c>
      <c r="N237" s="20">
        <v>46329</v>
      </c>
      <c r="O237" t="s">
        <v>135</v>
      </c>
      <c r="P237" t="s">
        <v>1018</v>
      </c>
      <c r="Q237" t="s">
        <v>409</v>
      </c>
      <c r="R237" t="s">
        <v>29</v>
      </c>
      <c r="S237" t="s">
        <v>1014</v>
      </c>
      <c r="T237" t="str">
        <f>IF(OR(F237="Project - Competitive",F237="Project - Not Competitive"),"New Business","Upsell")</f>
        <v>New Business</v>
      </c>
      <c r="U237" t="str">
        <f>TEXT(M237,"mm/aaaa")</f>
        <v>04/2026</v>
      </c>
      <c r="V237" t="str">
        <f t="shared" si="6"/>
        <v/>
      </c>
      <c r="W237" s="26">
        <f t="shared" ca="1" si="7"/>
        <v>0</v>
      </c>
    </row>
    <row r="238" spans="1:23">
      <c r="A238" t="s">
        <v>618</v>
      </c>
      <c r="B238" t="s">
        <v>619</v>
      </c>
      <c r="C238" t="s">
        <v>620</v>
      </c>
      <c r="D238" t="s">
        <v>298</v>
      </c>
      <c r="E238" t="s">
        <v>622</v>
      </c>
      <c r="F238" t="s">
        <v>39</v>
      </c>
      <c r="G238" t="s">
        <v>66</v>
      </c>
      <c r="H238">
        <v>456000</v>
      </c>
      <c r="I238" t="s">
        <v>25</v>
      </c>
      <c r="J238">
        <v>36000</v>
      </c>
      <c r="K238" t="s">
        <v>25</v>
      </c>
      <c r="L238" t="s">
        <v>33</v>
      </c>
      <c r="M238" s="20">
        <v>46142</v>
      </c>
      <c r="N238" s="20">
        <v>46073</v>
      </c>
      <c r="O238" t="s">
        <v>290</v>
      </c>
      <c r="P238" t="s">
        <v>58</v>
      </c>
      <c r="Q238" t="s">
        <v>472</v>
      </c>
      <c r="R238" t="s">
        <v>29</v>
      </c>
      <c r="S238" t="s">
        <v>1015</v>
      </c>
      <c r="T238" t="str">
        <f>IF(OR(F238="Project - Competitive",F238="Project - Not Competitive"),"New Business","Upsell")</f>
        <v>New Business</v>
      </c>
      <c r="U238" t="str">
        <f>TEXT(M238,"mm/aaaa")</f>
        <v>04/2026</v>
      </c>
      <c r="V238" t="str">
        <f t="shared" si="6"/>
        <v/>
      </c>
      <c r="W238" s="26">
        <f t="shared" ca="1" si="7"/>
        <v>65</v>
      </c>
    </row>
    <row r="239" spans="1:23">
      <c r="A239" t="s">
        <v>975</v>
      </c>
      <c r="B239" t="s">
        <v>976</v>
      </c>
      <c r="C239" t="s">
        <v>977</v>
      </c>
      <c r="D239" t="s">
        <v>203</v>
      </c>
      <c r="E239" t="s">
        <v>980</v>
      </c>
      <c r="F239" t="s">
        <v>39</v>
      </c>
      <c r="G239" t="s">
        <v>112</v>
      </c>
      <c r="H239">
        <v>0</v>
      </c>
      <c r="I239" t="s">
        <v>25</v>
      </c>
      <c r="J239">
        <v>0</v>
      </c>
      <c r="K239" t="s">
        <v>25</v>
      </c>
      <c r="L239" t="s">
        <v>33</v>
      </c>
      <c r="M239" s="20">
        <v>46155</v>
      </c>
      <c r="N239" s="20">
        <v>46125</v>
      </c>
      <c r="O239" t="s">
        <v>50</v>
      </c>
      <c r="P239" t="s">
        <v>1018</v>
      </c>
      <c r="Q239" t="s">
        <v>73</v>
      </c>
      <c r="S239" t="s">
        <v>1015</v>
      </c>
      <c r="T239" t="str">
        <f>IF(OR(F239="Project - Competitive",F239="Project - Not Competitive"),"New Business","Upsell")</f>
        <v>New Business</v>
      </c>
      <c r="U239" t="str">
        <f>TEXT(M239,"mm/aaaa")</f>
        <v>05/2026</v>
      </c>
      <c r="V239" t="str">
        <f t="shared" si="6"/>
        <v/>
      </c>
      <c r="W239" s="26">
        <f t="shared" ca="1" si="7"/>
        <v>13</v>
      </c>
    </row>
    <row r="240" spans="1:23">
      <c r="A240" t="s">
        <v>230</v>
      </c>
      <c r="B240" t="s">
        <v>231</v>
      </c>
      <c r="C240" t="s">
        <v>232</v>
      </c>
      <c r="D240" t="s">
        <v>102</v>
      </c>
      <c r="E240" t="s">
        <v>234</v>
      </c>
      <c r="F240" t="s">
        <v>82</v>
      </c>
      <c r="G240" t="s">
        <v>40</v>
      </c>
      <c r="H240">
        <v>1038355.7999999999</v>
      </c>
      <c r="I240" t="s">
        <v>25</v>
      </c>
      <c r="J240">
        <v>241774.07999999999</v>
      </c>
      <c r="K240" t="s">
        <v>25</v>
      </c>
      <c r="L240" t="s">
        <v>33</v>
      </c>
      <c r="M240" s="20">
        <v>46036</v>
      </c>
      <c r="N240" s="20">
        <v>45819</v>
      </c>
      <c r="O240" t="s">
        <v>27</v>
      </c>
      <c r="P240" t="s">
        <v>1018</v>
      </c>
      <c r="Q240" t="s">
        <v>59</v>
      </c>
      <c r="R240" t="s">
        <v>29</v>
      </c>
      <c r="S240" t="s">
        <v>1012</v>
      </c>
      <c r="T240" t="str">
        <f>IF(OR(F240="Project - Competitive",F240="Project - Not Competitive"),"New Business","Upsell")</f>
        <v>Upsell</v>
      </c>
      <c r="U240" t="str">
        <f>TEXT(M240,"mm/aaaa")</f>
        <v>01/2026</v>
      </c>
      <c r="V240">
        <f t="shared" si="6"/>
        <v>217</v>
      </c>
      <c r="W240" s="26" t="str">
        <f t="shared" ca="1" si="7"/>
        <v/>
      </c>
    </row>
    <row r="241" spans="1:23">
      <c r="A241" t="s">
        <v>359</v>
      </c>
      <c r="B241" t="s">
        <v>231</v>
      </c>
      <c r="C241" t="s">
        <v>232</v>
      </c>
      <c r="D241" t="s">
        <v>102</v>
      </c>
      <c r="E241" t="s">
        <v>234</v>
      </c>
      <c r="F241" t="s">
        <v>23</v>
      </c>
      <c r="G241" t="s">
        <v>40</v>
      </c>
      <c r="H241">
        <v>358921.88</v>
      </c>
      <c r="I241" t="s">
        <v>25</v>
      </c>
      <c r="J241">
        <v>107937.60000000001</v>
      </c>
      <c r="K241" t="s">
        <v>25</v>
      </c>
      <c r="L241" t="s">
        <v>33</v>
      </c>
      <c r="M241" s="20">
        <v>46036</v>
      </c>
      <c r="N241" s="20">
        <v>45759</v>
      </c>
      <c r="O241" t="s">
        <v>27</v>
      </c>
      <c r="P241" t="s">
        <v>1018</v>
      </c>
      <c r="Q241" t="s">
        <v>59</v>
      </c>
      <c r="R241" t="s">
        <v>29</v>
      </c>
      <c r="S241" t="s">
        <v>1012</v>
      </c>
      <c r="T241" t="str">
        <f>IF(OR(F241="Project - Competitive",F241="Project - Not Competitive"),"New Business","Upsell")</f>
        <v>Upsell</v>
      </c>
      <c r="U241" t="str">
        <f>TEXT(M241,"mm/aaaa")</f>
        <v>01/2026</v>
      </c>
      <c r="V241">
        <f t="shared" si="6"/>
        <v>277</v>
      </c>
      <c r="W241" s="26" t="str">
        <f t="shared" ca="1" si="7"/>
        <v/>
      </c>
    </row>
    <row r="242" spans="1:23">
      <c r="A242" t="s">
        <v>410</v>
      </c>
      <c r="B242" t="s">
        <v>231</v>
      </c>
      <c r="C242" t="s">
        <v>232</v>
      </c>
      <c r="D242" t="s">
        <v>102</v>
      </c>
      <c r="E242" t="s">
        <v>233</v>
      </c>
      <c r="F242" t="s">
        <v>23</v>
      </c>
      <c r="G242" t="s">
        <v>40</v>
      </c>
      <c r="H242">
        <v>45500</v>
      </c>
      <c r="I242" t="s">
        <v>25</v>
      </c>
      <c r="J242">
        <v>17600</v>
      </c>
      <c r="K242" t="s">
        <v>25</v>
      </c>
      <c r="L242" t="s">
        <v>33</v>
      </c>
      <c r="M242" s="20">
        <v>46036</v>
      </c>
      <c r="N242" s="20">
        <v>46014</v>
      </c>
      <c r="O242" t="s">
        <v>27</v>
      </c>
      <c r="P242" t="s">
        <v>1018</v>
      </c>
      <c r="Q242" t="s">
        <v>59</v>
      </c>
      <c r="R242" t="s">
        <v>60</v>
      </c>
      <c r="S242" t="s">
        <v>1012</v>
      </c>
      <c r="T242" t="str">
        <f>IF(OR(F242="Project - Competitive",F242="Project - Not Competitive"),"New Business","Upsell")</f>
        <v>Upsell</v>
      </c>
      <c r="U242" t="str">
        <f>TEXT(M242,"mm/aaaa")</f>
        <v>01/2026</v>
      </c>
      <c r="V242">
        <f t="shared" si="6"/>
        <v>22</v>
      </c>
      <c r="W242" s="26" t="str">
        <f t="shared" ca="1" si="7"/>
        <v/>
      </c>
    </row>
    <row r="243" spans="1:23" ht="14.4" customHeight="1">
      <c r="A243" t="s">
        <v>774</v>
      </c>
      <c r="B243" t="s">
        <v>231</v>
      </c>
      <c r="C243" t="s">
        <v>232</v>
      </c>
      <c r="D243" t="s">
        <v>102</v>
      </c>
      <c r="E243" t="s">
        <v>234</v>
      </c>
      <c r="F243" t="s">
        <v>23</v>
      </c>
      <c r="G243" t="s">
        <v>40</v>
      </c>
      <c r="H243">
        <v>45500</v>
      </c>
      <c r="I243" t="s">
        <v>25</v>
      </c>
      <c r="J243">
        <v>17600</v>
      </c>
      <c r="K243" t="s">
        <v>25</v>
      </c>
      <c r="L243" t="s">
        <v>33</v>
      </c>
      <c r="M243" s="20">
        <v>46238</v>
      </c>
      <c r="N243" s="20">
        <v>46100</v>
      </c>
      <c r="O243" t="s">
        <v>27</v>
      </c>
      <c r="P243" t="s">
        <v>1018</v>
      </c>
      <c r="Q243" t="s">
        <v>122</v>
      </c>
      <c r="R243" t="s">
        <v>60</v>
      </c>
      <c r="S243" t="s">
        <v>1012</v>
      </c>
      <c r="T243" t="str">
        <f>IF(OR(F243="Project - Competitive",F243="Project - Not Competitive"),"New Business","Upsell")</f>
        <v>Upsell</v>
      </c>
      <c r="U243" t="str">
        <f>TEXT(M243,"mm/aaaa")</f>
        <v>08/2026</v>
      </c>
      <c r="V243">
        <f t="shared" si="6"/>
        <v>138</v>
      </c>
      <c r="W243" s="26" t="str">
        <f t="shared" ca="1" si="7"/>
        <v/>
      </c>
    </row>
    <row r="244" spans="1:23" ht="14.4" customHeight="1">
      <c r="A244" t="s">
        <v>361</v>
      </c>
      <c r="B244" t="s">
        <v>231</v>
      </c>
      <c r="C244" t="s">
        <v>232</v>
      </c>
      <c r="D244" t="s">
        <v>102</v>
      </c>
      <c r="E244" t="s">
        <v>776</v>
      </c>
      <c r="F244" t="s">
        <v>23</v>
      </c>
      <c r="G244" t="s">
        <v>40</v>
      </c>
      <c r="H244">
        <v>10000</v>
      </c>
      <c r="I244" t="s">
        <v>25</v>
      </c>
      <c r="J244">
        <v>10000</v>
      </c>
      <c r="K244" t="s">
        <v>25</v>
      </c>
      <c r="L244" t="s">
        <v>33</v>
      </c>
      <c r="M244" s="20">
        <v>46235</v>
      </c>
      <c r="N244" s="20">
        <v>45759</v>
      </c>
      <c r="O244" t="s">
        <v>27</v>
      </c>
      <c r="P244" t="s">
        <v>1018</v>
      </c>
      <c r="Q244" t="s">
        <v>91</v>
      </c>
      <c r="R244" t="s">
        <v>73</v>
      </c>
      <c r="S244" t="s">
        <v>1012</v>
      </c>
      <c r="T244" t="str">
        <f>IF(OR(F244="Project - Competitive",F244="Project - Not Competitive"),"New Business","Upsell")</f>
        <v>Upsell</v>
      </c>
      <c r="U244" t="str">
        <f>TEXT(M244,"mm/aaaa")</f>
        <v>08/2026</v>
      </c>
      <c r="V244">
        <f t="shared" si="6"/>
        <v>476</v>
      </c>
      <c r="W244" s="26" t="str">
        <f t="shared" ca="1" si="7"/>
        <v/>
      </c>
    </row>
    <row r="245" spans="1:23" ht="14.4" customHeight="1">
      <c r="A245" t="s">
        <v>276</v>
      </c>
      <c r="B245" t="s">
        <v>217</v>
      </c>
      <c r="C245" t="s">
        <v>218</v>
      </c>
      <c r="D245" t="s">
        <v>55</v>
      </c>
      <c r="E245" t="s">
        <v>370</v>
      </c>
      <c r="F245" t="s">
        <v>23</v>
      </c>
      <c r="G245" t="s">
        <v>40</v>
      </c>
      <c r="H245">
        <v>604944.24</v>
      </c>
      <c r="I245" t="s">
        <v>25</v>
      </c>
      <c r="J245">
        <v>179794.32</v>
      </c>
      <c r="K245" t="s">
        <v>25</v>
      </c>
      <c r="L245" t="s">
        <v>33</v>
      </c>
      <c r="M245" s="20">
        <v>46078</v>
      </c>
      <c r="N245" s="20">
        <v>45978</v>
      </c>
      <c r="O245" t="s">
        <v>27</v>
      </c>
      <c r="P245" t="s">
        <v>1018</v>
      </c>
      <c r="Q245" t="s">
        <v>278</v>
      </c>
      <c r="R245" t="s">
        <v>29</v>
      </c>
      <c r="S245" t="s">
        <v>1012</v>
      </c>
      <c r="T245" t="str">
        <f>IF(OR(F245="Project - Competitive",F245="Project - Not Competitive"),"New Business","Upsell")</f>
        <v>Upsell</v>
      </c>
      <c r="U245" t="str">
        <f>TEXT(M245,"mm/aaaa")</f>
        <v>02/2026</v>
      </c>
      <c r="V245">
        <f t="shared" si="6"/>
        <v>100</v>
      </c>
      <c r="W245" s="26" t="str">
        <f t="shared" ca="1" si="7"/>
        <v/>
      </c>
    </row>
    <row r="246" spans="1:23">
      <c r="A246" t="s">
        <v>351</v>
      </c>
      <c r="B246" t="s">
        <v>352</v>
      </c>
      <c r="C246" t="s">
        <v>353</v>
      </c>
      <c r="D246" t="s">
        <v>47</v>
      </c>
      <c r="E246" t="s">
        <v>357</v>
      </c>
      <c r="F246" t="s">
        <v>39</v>
      </c>
      <c r="G246" t="s">
        <v>24</v>
      </c>
      <c r="H246">
        <v>993642.36</v>
      </c>
      <c r="I246" t="s">
        <v>25</v>
      </c>
      <c r="J246">
        <v>343152</v>
      </c>
      <c r="K246" t="s">
        <v>25</v>
      </c>
      <c r="L246" t="s">
        <v>33</v>
      </c>
      <c r="M246" s="20">
        <v>46299</v>
      </c>
      <c r="N246" s="20">
        <v>45728</v>
      </c>
      <c r="O246" t="s">
        <v>355</v>
      </c>
      <c r="P246" t="s">
        <v>58</v>
      </c>
      <c r="Q246" t="s">
        <v>356</v>
      </c>
      <c r="R246" t="s">
        <v>29</v>
      </c>
      <c r="S246" t="s">
        <v>1016</v>
      </c>
      <c r="T246" t="str">
        <f>IF(OR(F246="Project - Competitive",F246="Project - Not Competitive"),"New Business","Upsell")</f>
        <v>New Business</v>
      </c>
      <c r="U246" t="str">
        <f>TEXT(M246,"mm/aaaa")</f>
        <v>10/2026</v>
      </c>
      <c r="V246" t="str">
        <f t="shared" si="6"/>
        <v/>
      </c>
      <c r="W246" s="26">
        <f t="shared" ca="1" si="7"/>
        <v>410</v>
      </c>
    </row>
    <row r="247" spans="1:23">
      <c r="A247" t="s">
        <v>687</v>
      </c>
      <c r="B247" t="s">
        <v>688</v>
      </c>
      <c r="C247" t="s">
        <v>689</v>
      </c>
      <c r="D247" t="s">
        <v>328</v>
      </c>
      <c r="E247" t="s">
        <v>693</v>
      </c>
      <c r="F247" t="s">
        <v>82</v>
      </c>
      <c r="G247" t="s">
        <v>330</v>
      </c>
      <c r="H247">
        <v>809225.34</v>
      </c>
      <c r="I247" t="s">
        <v>25</v>
      </c>
      <c r="J247">
        <v>215611.5</v>
      </c>
      <c r="K247" t="s">
        <v>25</v>
      </c>
      <c r="L247" t="s">
        <v>33</v>
      </c>
      <c r="M247" s="20">
        <v>46173</v>
      </c>
      <c r="N247" s="20">
        <v>46176</v>
      </c>
      <c r="O247" t="s">
        <v>27</v>
      </c>
      <c r="P247" t="s">
        <v>1018</v>
      </c>
      <c r="Q247" t="s">
        <v>691</v>
      </c>
      <c r="R247" t="s">
        <v>122</v>
      </c>
      <c r="S247" t="s">
        <v>1012</v>
      </c>
      <c r="T247" t="str">
        <f>IF(OR(F247="Project - Competitive",F247="Project - Not Competitive"),"New Business","Upsell")</f>
        <v>Upsell</v>
      </c>
      <c r="U247" t="str">
        <f>TEXT(M247,"mm/aaaa")</f>
        <v>05/2026</v>
      </c>
      <c r="V247" t="str">
        <f t="shared" si="6"/>
        <v/>
      </c>
      <c r="W247" s="26">
        <f t="shared" ca="1" si="7"/>
        <v>0</v>
      </c>
    </row>
    <row r="248" spans="1:23">
      <c r="A248" t="s">
        <v>708</v>
      </c>
      <c r="B248" t="s">
        <v>709</v>
      </c>
      <c r="C248" t="s">
        <v>710</v>
      </c>
      <c r="D248" t="s">
        <v>102</v>
      </c>
      <c r="E248" t="s">
        <v>711</v>
      </c>
      <c r="F248" t="s">
        <v>82</v>
      </c>
      <c r="G248" t="s">
        <v>40</v>
      </c>
      <c r="H248">
        <v>155444.76</v>
      </c>
      <c r="I248" t="s">
        <v>25</v>
      </c>
      <c r="J248">
        <v>155444.76</v>
      </c>
      <c r="K248" t="s">
        <v>25</v>
      </c>
      <c r="L248" t="s">
        <v>33</v>
      </c>
      <c r="M248" s="20">
        <v>46268</v>
      </c>
      <c r="N248" s="20">
        <v>46268</v>
      </c>
      <c r="O248" t="s">
        <v>27</v>
      </c>
      <c r="P248" t="s">
        <v>1018</v>
      </c>
      <c r="Q248" t="s">
        <v>105</v>
      </c>
      <c r="R248" t="s">
        <v>185</v>
      </c>
      <c r="S248" t="s">
        <v>1012</v>
      </c>
      <c r="T248" t="str">
        <f>IF(OR(F248="Project - Competitive",F248="Project - Not Competitive"),"New Business","Upsell")</f>
        <v>Upsell</v>
      </c>
      <c r="U248" t="str">
        <f>TEXT(M248,"mm/aaaa")</f>
        <v>09/2026</v>
      </c>
      <c r="V248" t="str">
        <f t="shared" si="6"/>
        <v/>
      </c>
      <c r="W248" s="26" t="str">
        <f t="shared" ca="1" si="7"/>
        <v/>
      </c>
    </row>
    <row r="249" spans="1:23">
      <c r="A249" t="s">
        <v>300</v>
      </c>
      <c r="B249" t="s">
        <v>301</v>
      </c>
      <c r="C249" t="s">
        <v>1064</v>
      </c>
      <c r="D249" t="s">
        <v>203</v>
      </c>
      <c r="E249" t="s">
        <v>1052</v>
      </c>
      <c r="F249" t="s">
        <v>39</v>
      </c>
      <c r="G249" t="s">
        <v>66</v>
      </c>
      <c r="H249">
        <v>6208423.2000000002</v>
      </c>
      <c r="I249" t="s">
        <v>25</v>
      </c>
      <c r="J249">
        <v>1014954.24</v>
      </c>
      <c r="K249" t="s">
        <v>25</v>
      </c>
      <c r="L249" t="s">
        <v>33</v>
      </c>
      <c r="M249" s="20">
        <v>46155</v>
      </c>
      <c r="N249" s="20">
        <v>45987</v>
      </c>
      <c r="O249" t="s">
        <v>50</v>
      </c>
      <c r="P249" t="s">
        <v>58</v>
      </c>
      <c r="Q249" t="s">
        <v>97</v>
      </c>
      <c r="R249" t="s">
        <v>29</v>
      </c>
      <c r="S249" t="s">
        <v>1015</v>
      </c>
      <c r="T249" t="str">
        <f>IF(OR(F249="Project - Competitive",F249="Project - Not Competitive"),"New Business","Upsell")</f>
        <v>New Business</v>
      </c>
      <c r="U249" t="str">
        <f>TEXT(M249,"mm/aaaa")</f>
        <v>05/2026</v>
      </c>
      <c r="V249" t="str">
        <f t="shared" si="6"/>
        <v/>
      </c>
      <c r="W249" s="26">
        <f t="shared" ca="1" si="7"/>
        <v>151</v>
      </c>
    </row>
    <row r="250" spans="1:23">
      <c r="A250" t="s">
        <v>673</v>
      </c>
      <c r="B250" t="s">
        <v>445</v>
      </c>
      <c r="C250" t="s">
        <v>1065</v>
      </c>
      <c r="D250" t="s">
        <v>132</v>
      </c>
      <c r="E250" t="s">
        <v>1057</v>
      </c>
      <c r="F250" t="s">
        <v>39</v>
      </c>
      <c r="G250" t="s">
        <v>119</v>
      </c>
      <c r="H250">
        <v>265000</v>
      </c>
      <c r="I250" t="s">
        <v>25</v>
      </c>
      <c r="J250">
        <v>4000</v>
      </c>
      <c r="K250" t="s">
        <v>25</v>
      </c>
      <c r="L250" t="s">
        <v>33</v>
      </c>
      <c r="M250" s="20">
        <v>46117</v>
      </c>
      <c r="N250" s="20">
        <v>46084</v>
      </c>
      <c r="O250" t="s">
        <v>290</v>
      </c>
      <c r="P250" t="s">
        <v>1018</v>
      </c>
      <c r="Q250" t="s">
        <v>451</v>
      </c>
      <c r="R250" t="s">
        <v>29</v>
      </c>
      <c r="S250" t="s">
        <v>1015</v>
      </c>
      <c r="T250" t="str">
        <f>IF(OR(F250="Project - Competitive",F250="Project - Not Competitive"),"New Business","Upsell")</f>
        <v>New Business</v>
      </c>
      <c r="U250" t="str">
        <f>TEXT(M250,"mm/aaaa")</f>
        <v>04/2026</v>
      </c>
      <c r="V250" t="str">
        <f t="shared" si="6"/>
        <v/>
      </c>
      <c r="W250" s="26">
        <f t="shared" ca="1" si="7"/>
        <v>54</v>
      </c>
    </row>
    <row r="251" spans="1:23" ht="14.4" customHeight="1">
      <c r="A251" t="s">
        <v>614</v>
      </c>
      <c r="B251" t="s">
        <v>152</v>
      </c>
      <c r="C251" t="s">
        <v>153</v>
      </c>
      <c r="D251" t="s">
        <v>95</v>
      </c>
      <c r="E251" t="s">
        <v>615</v>
      </c>
      <c r="F251" t="s">
        <v>82</v>
      </c>
      <c r="G251" t="s">
        <v>66</v>
      </c>
      <c r="H251">
        <v>1926466.8</v>
      </c>
      <c r="I251" t="s">
        <v>25</v>
      </c>
      <c r="J251">
        <v>129525.6</v>
      </c>
      <c r="K251" t="s">
        <v>25</v>
      </c>
      <c r="L251" t="s">
        <v>33</v>
      </c>
      <c r="M251" s="20">
        <v>46173</v>
      </c>
      <c r="N251" s="20">
        <v>46073</v>
      </c>
      <c r="O251" t="s">
        <v>27</v>
      </c>
      <c r="P251" t="s">
        <v>1018</v>
      </c>
      <c r="Q251" t="s">
        <v>156</v>
      </c>
      <c r="R251" t="s">
        <v>29</v>
      </c>
      <c r="S251" t="s">
        <v>1012</v>
      </c>
      <c r="T251" t="str">
        <f>IF(OR(F251="Project - Competitive",F251="Project - Not Competitive"),"New Business","Upsell")</f>
        <v>Upsell</v>
      </c>
      <c r="U251" t="str">
        <f>TEXT(M251,"mm/aaaa")</f>
        <v>05/2026</v>
      </c>
      <c r="V251" t="str">
        <f t="shared" si="6"/>
        <v/>
      </c>
      <c r="W251" s="26">
        <f t="shared" ca="1" si="7"/>
        <v>65</v>
      </c>
    </row>
    <row r="252" spans="1:23">
      <c r="A252" t="s">
        <v>432</v>
      </c>
      <c r="B252" t="s">
        <v>326</v>
      </c>
      <c r="C252" t="s">
        <v>327</v>
      </c>
      <c r="D252" t="s">
        <v>328</v>
      </c>
      <c r="E252" t="s">
        <v>433</v>
      </c>
      <c r="F252" t="s">
        <v>82</v>
      </c>
      <c r="G252" t="s">
        <v>40</v>
      </c>
      <c r="H252">
        <v>3156666.46</v>
      </c>
      <c r="I252" t="s">
        <v>25</v>
      </c>
      <c r="J252">
        <v>965866.44</v>
      </c>
      <c r="K252" t="s">
        <v>25</v>
      </c>
      <c r="L252" t="s">
        <v>33</v>
      </c>
      <c r="M252" s="20">
        <v>46079</v>
      </c>
      <c r="N252" s="20">
        <v>46357</v>
      </c>
      <c r="O252" t="s">
        <v>27</v>
      </c>
      <c r="P252" t="s">
        <v>1018</v>
      </c>
      <c r="Q252" t="s">
        <v>434</v>
      </c>
      <c r="R252" t="s">
        <v>29</v>
      </c>
      <c r="S252" t="s">
        <v>1012</v>
      </c>
      <c r="T252" t="str">
        <f>IF(OR(F252="Project - Competitive",F252="Project - Not Competitive"),"New Business","Upsell")</f>
        <v>Upsell</v>
      </c>
      <c r="U252" t="str">
        <f>TEXT(M252,"mm/aaaa")</f>
        <v>02/2026</v>
      </c>
      <c r="V252" t="str">
        <f t="shared" si="6"/>
        <v/>
      </c>
      <c r="W252" s="26" t="str">
        <f t="shared" ca="1" si="7"/>
        <v/>
      </c>
    </row>
    <row r="253" spans="1:23">
      <c r="A253" t="s">
        <v>340</v>
      </c>
      <c r="B253" t="s">
        <v>341</v>
      </c>
      <c r="C253" t="s">
        <v>342</v>
      </c>
      <c r="D253" t="s">
        <v>147</v>
      </c>
      <c r="E253" t="s">
        <v>346</v>
      </c>
      <c r="F253" t="s">
        <v>39</v>
      </c>
      <c r="G253" t="s">
        <v>66</v>
      </c>
      <c r="H253">
        <v>2627267.83</v>
      </c>
      <c r="I253" t="s">
        <v>25</v>
      </c>
      <c r="J253">
        <v>290635.8</v>
      </c>
      <c r="K253" t="s">
        <v>25</v>
      </c>
      <c r="L253" t="s">
        <v>33</v>
      </c>
      <c r="M253" s="20">
        <v>46331</v>
      </c>
      <c r="N253" s="20">
        <v>45669</v>
      </c>
      <c r="O253" t="s">
        <v>290</v>
      </c>
      <c r="P253" t="s">
        <v>58</v>
      </c>
      <c r="Q253" t="s">
        <v>344</v>
      </c>
      <c r="R253" t="s">
        <v>29</v>
      </c>
      <c r="S253" t="s">
        <v>1015</v>
      </c>
      <c r="T253" t="str">
        <f>IF(OR(F253="Project - Competitive",F253="Project - Not Competitive"),"New Business","Upsell")</f>
        <v>New Business</v>
      </c>
      <c r="U253" t="str">
        <f>TEXT(M253,"mm/aaaa")</f>
        <v>11/2026</v>
      </c>
      <c r="V253" t="str">
        <f t="shared" si="6"/>
        <v/>
      </c>
      <c r="W253" s="26">
        <f t="shared" ca="1" si="7"/>
        <v>469</v>
      </c>
    </row>
    <row r="254" spans="1:23">
      <c r="A254" t="s">
        <v>18</v>
      </c>
      <c r="B254" t="s">
        <v>19</v>
      </c>
      <c r="C254" t="s">
        <v>20</v>
      </c>
      <c r="D254" t="s">
        <v>21</v>
      </c>
      <c r="E254" t="s">
        <v>32</v>
      </c>
      <c r="F254" t="s">
        <v>23</v>
      </c>
      <c r="G254" t="s">
        <v>24</v>
      </c>
      <c r="H254">
        <v>3043949.95</v>
      </c>
      <c r="I254" t="s">
        <v>25</v>
      </c>
      <c r="J254">
        <v>738948.26</v>
      </c>
      <c r="K254" t="s">
        <v>25</v>
      </c>
      <c r="L254" t="s">
        <v>33</v>
      </c>
      <c r="M254" s="20">
        <v>46142</v>
      </c>
      <c r="N254" s="20">
        <v>45796</v>
      </c>
      <c r="O254" t="s">
        <v>27</v>
      </c>
      <c r="P254" t="s">
        <v>1018</v>
      </c>
      <c r="Q254" t="s">
        <v>28</v>
      </c>
      <c r="R254" t="s">
        <v>29</v>
      </c>
      <c r="S254" t="s">
        <v>1012</v>
      </c>
      <c r="T254" t="str">
        <f>IF(OR(F254="Project - Competitive",F254="Project - Not Competitive"),"New Business","Upsell")</f>
        <v>Upsell</v>
      </c>
      <c r="U254" t="str">
        <f>TEXT(M254,"mm/aaaa")</f>
        <v>04/2026</v>
      </c>
      <c r="V254" t="str">
        <f t="shared" si="6"/>
        <v/>
      </c>
      <c r="W254" s="26">
        <f t="shared" ca="1" si="7"/>
        <v>342</v>
      </c>
    </row>
    <row r="255" spans="1:23">
      <c r="A255" t="s">
        <v>363</v>
      </c>
      <c r="B255" t="s">
        <v>19</v>
      </c>
      <c r="C255" t="s">
        <v>20</v>
      </c>
      <c r="D255" t="s">
        <v>21</v>
      </c>
      <c r="E255" t="s">
        <v>339</v>
      </c>
      <c r="F255" t="s">
        <v>82</v>
      </c>
      <c r="G255" t="s">
        <v>24</v>
      </c>
      <c r="H255">
        <v>4235159.34</v>
      </c>
      <c r="I255" t="s">
        <v>25</v>
      </c>
      <c r="J255">
        <v>459539.83</v>
      </c>
      <c r="K255" t="s">
        <v>25</v>
      </c>
      <c r="L255" t="s">
        <v>33</v>
      </c>
      <c r="M255" s="20">
        <v>46129</v>
      </c>
      <c r="N255" s="20">
        <v>45881</v>
      </c>
      <c r="O255" t="s">
        <v>27</v>
      </c>
      <c r="P255" t="s">
        <v>1018</v>
      </c>
      <c r="Q255" t="s">
        <v>156</v>
      </c>
      <c r="R255" t="s">
        <v>122</v>
      </c>
      <c r="S255" t="s">
        <v>1012</v>
      </c>
      <c r="T255" t="str">
        <f>IF(OR(F255="Project - Competitive",F255="Project - Not Competitive"),"New Business","Upsell")</f>
        <v>Upsell</v>
      </c>
      <c r="U255" t="str">
        <f>TEXT(M255,"mm/aaaa")</f>
        <v>04/2026</v>
      </c>
      <c r="V255" t="str">
        <f t="shared" si="6"/>
        <v/>
      </c>
      <c r="W255" s="26">
        <f t="shared" ca="1" si="7"/>
        <v>257</v>
      </c>
    </row>
    <row r="256" spans="1:23">
      <c r="A256" t="s">
        <v>390</v>
      </c>
      <c r="B256" t="s">
        <v>19</v>
      </c>
      <c r="C256" t="s">
        <v>20</v>
      </c>
      <c r="D256" t="s">
        <v>21</v>
      </c>
      <c r="E256" t="s">
        <v>364</v>
      </c>
      <c r="F256" t="s">
        <v>23</v>
      </c>
      <c r="G256" t="s">
        <v>24</v>
      </c>
      <c r="H256">
        <v>594455.31000000006</v>
      </c>
      <c r="I256" t="s">
        <v>25</v>
      </c>
      <c r="J256">
        <v>206541.72</v>
      </c>
      <c r="K256" t="s">
        <v>25</v>
      </c>
      <c r="L256" t="s">
        <v>33</v>
      </c>
      <c r="M256" s="20">
        <v>46142</v>
      </c>
      <c r="N256" s="20">
        <v>46006</v>
      </c>
      <c r="O256" t="s">
        <v>27</v>
      </c>
      <c r="P256" t="s">
        <v>1018</v>
      </c>
      <c r="Q256" t="s">
        <v>156</v>
      </c>
      <c r="R256" t="s">
        <v>185</v>
      </c>
      <c r="S256" t="s">
        <v>1012</v>
      </c>
      <c r="T256" t="str">
        <f>IF(OR(F256="Project - Competitive",F256="Project - Not Competitive"),"New Business","Upsell")</f>
        <v>Upsell</v>
      </c>
      <c r="U256" t="str">
        <f>TEXT(M256,"mm/aaaa")</f>
        <v>04/2026</v>
      </c>
      <c r="V256" t="str">
        <f t="shared" si="6"/>
        <v/>
      </c>
      <c r="W256" s="26">
        <f t="shared" ca="1" si="7"/>
        <v>132</v>
      </c>
    </row>
    <row r="257" spans="1:23">
      <c r="A257" t="s">
        <v>402</v>
      </c>
      <c r="B257" t="s">
        <v>19</v>
      </c>
      <c r="C257" t="s">
        <v>20</v>
      </c>
      <c r="D257" t="s">
        <v>21</v>
      </c>
      <c r="E257" t="s">
        <v>509</v>
      </c>
      <c r="F257" t="s">
        <v>23</v>
      </c>
      <c r="G257" t="s">
        <v>40</v>
      </c>
      <c r="H257">
        <v>39230.949999999997</v>
      </c>
      <c r="I257" t="s">
        <v>25</v>
      </c>
      <c r="J257">
        <v>39230.949999999997</v>
      </c>
      <c r="K257" t="s">
        <v>25</v>
      </c>
      <c r="L257" t="s">
        <v>33</v>
      </c>
      <c r="M257" s="20">
        <v>46083</v>
      </c>
      <c r="N257" s="20">
        <v>46010</v>
      </c>
      <c r="O257" t="s">
        <v>27</v>
      </c>
      <c r="P257" t="s">
        <v>1018</v>
      </c>
      <c r="Q257" t="s">
        <v>285</v>
      </c>
      <c r="R257" t="s">
        <v>73</v>
      </c>
      <c r="S257" t="s">
        <v>1012</v>
      </c>
      <c r="T257" t="str">
        <f>IF(OR(F257="Project - Competitive",F257="Project - Not Competitive"),"New Business","Upsell")</f>
        <v>Upsell</v>
      </c>
      <c r="U257" t="str">
        <f>TEXT(M257,"mm/aaaa")</f>
        <v>03/2026</v>
      </c>
      <c r="V257">
        <f t="shared" si="6"/>
        <v>73</v>
      </c>
      <c r="W257" s="26" t="str">
        <f t="shared" ca="1" si="7"/>
        <v/>
      </c>
    </row>
    <row r="258" spans="1:23">
      <c r="A258" t="s">
        <v>92</v>
      </c>
      <c r="B258" t="s">
        <v>93</v>
      </c>
      <c r="C258" t="s">
        <v>94</v>
      </c>
      <c r="D258" t="s">
        <v>95</v>
      </c>
      <c r="E258" t="s">
        <v>96</v>
      </c>
      <c r="F258" t="s">
        <v>23</v>
      </c>
      <c r="G258" t="s">
        <v>40</v>
      </c>
      <c r="H258">
        <v>180000</v>
      </c>
      <c r="I258" t="s">
        <v>25</v>
      </c>
      <c r="J258">
        <v>108000</v>
      </c>
      <c r="K258" t="s">
        <v>25</v>
      </c>
      <c r="L258" t="s">
        <v>33</v>
      </c>
      <c r="M258" s="20">
        <v>46267</v>
      </c>
      <c r="N258" s="20">
        <v>45898</v>
      </c>
      <c r="O258" t="s">
        <v>27</v>
      </c>
      <c r="P258" t="s">
        <v>1018</v>
      </c>
      <c r="Q258" t="s">
        <v>97</v>
      </c>
      <c r="R258" t="s">
        <v>29</v>
      </c>
      <c r="S258" t="s">
        <v>1012</v>
      </c>
      <c r="T258" t="str">
        <f>IF(OR(F258="Project - Competitive",F258="Project - Not Competitive"),"New Business","Upsell")</f>
        <v>Upsell</v>
      </c>
      <c r="U258" t="str">
        <f>TEXT(M258,"mm/aaaa")</f>
        <v>09/2026</v>
      </c>
      <c r="V258">
        <f t="shared" si="6"/>
        <v>369</v>
      </c>
      <c r="W258" s="26" t="str">
        <f t="shared" ca="1" si="7"/>
        <v/>
      </c>
    </row>
    <row r="259" spans="1:23">
      <c r="A259" t="s">
        <v>563</v>
      </c>
      <c r="B259" t="s">
        <v>564</v>
      </c>
      <c r="C259" t="s">
        <v>565</v>
      </c>
      <c r="D259" t="s">
        <v>95</v>
      </c>
      <c r="E259" t="s">
        <v>566</v>
      </c>
      <c r="F259" t="s">
        <v>23</v>
      </c>
      <c r="G259" t="s">
        <v>119</v>
      </c>
      <c r="H259">
        <v>1096669.2</v>
      </c>
      <c r="I259" t="s">
        <v>25</v>
      </c>
      <c r="J259">
        <v>1096669.2</v>
      </c>
      <c r="K259" t="s">
        <v>25</v>
      </c>
      <c r="L259" t="s">
        <v>33</v>
      </c>
      <c r="M259" s="20">
        <v>46173</v>
      </c>
      <c r="N259" s="20">
        <v>46358</v>
      </c>
      <c r="O259" t="s">
        <v>27</v>
      </c>
      <c r="P259" t="s">
        <v>58</v>
      </c>
      <c r="Q259" t="s">
        <v>434</v>
      </c>
      <c r="R259" t="s">
        <v>29</v>
      </c>
      <c r="S259" t="s">
        <v>1012</v>
      </c>
      <c r="T259" t="str">
        <f>IF(OR(F259="Project - Competitive",F259="Project - Not Competitive"),"New Business","Upsell")</f>
        <v>Upsell</v>
      </c>
      <c r="U259" t="str">
        <f>TEXT(M259,"mm/aaaa")</f>
        <v>05/2026</v>
      </c>
      <c r="V259" t="str">
        <f t="shared" ref="V259:V322" si="8">IF(AND(G259="Closed Won",M259&gt;N259),M259-N259,"")</f>
        <v/>
      </c>
      <c r="W259" s="26">
        <f t="shared" ref="W259:W322" ca="1" si="9">IF(G259&lt;&gt;"Closed Won",MAX(0,TODAY()-N259),"")</f>
        <v>0</v>
      </c>
    </row>
    <row r="260" spans="1:23">
      <c r="A260" t="s">
        <v>542</v>
      </c>
      <c r="B260" t="s">
        <v>108</v>
      </c>
      <c r="C260" t="s">
        <v>109</v>
      </c>
      <c r="D260" t="s">
        <v>110</v>
      </c>
      <c r="E260" t="s">
        <v>111</v>
      </c>
      <c r="F260" t="s">
        <v>23</v>
      </c>
      <c r="G260" t="s">
        <v>330</v>
      </c>
      <c r="H260">
        <v>845252.85</v>
      </c>
      <c r="I260" t="s">
        <v>25</v>
      </c>
      <c r="J260">
        <v>704595.14</v>
      </c>
      <c r="K260" t="s">
        <v>25</v>
      </c>
      <c r="L260" t="s">
        <v>33</v>
      </c>
      <c r="M260" s="20">
        <v>46203</v>
      </c>
      <c r="N260" s="20">
        <v>46175</v>
      </c>
      <c r="O260" t="s">
        <v>27</v>
      </c>
      <c r="P260" t="s">
        <v>1018</v>
      </c>
      <c r="Q260" t="s">
        <v>105</v>
      </c>
      <c r="R260" t="s">
        <v>29</v>
      </c>
      <c r="S260" t="s">
        <v>1012</v>
      </c>
      <c r="T260" t="str">
        <f>IF(OR(F260="Project - Competitive",F260="Project - Not Competitive"),"New Business","Upsell")</f>
        <v>Upsell</v>
      </c>
      <c r="U260" t="str">
        <f>TEXT(M260,"mm/aaaa")</f>
        <v>06/2026</v>
      </c>
      <c r="V260" t="str">
        <f t="shared" si="8"/>
        <v/>
      </c>
      <c r="W260" s="26">
        <f t="shared" ca="1" si="9"/>
        <v>0</v>
      </c>
    </row>
    <row r="261" spans="1:23">
      <c r="A261" t="s">
        <v>542</v>
      </c>
      <c r="B261" t="s">
        <v>108</v>
      </c>
      <c r="C261" t="s">
        <v>109</v>
      </c>
      <c r="D261" t="s">
        <v>110</v>
      </c>
      <c r="E261" t="s">
        <v>544</v>
      </c>
      <c r="F261" t="s">
        <v>23</v>
      </c>
      <c r="G261" t="s">
        <v>330</v>
      </c>
      <c r="H261">
        <v>845252.85</v>
      </c>
      <c r="I261" t="s">
        <v>25</v>
      </c>
      <c r="J261">
        <v>19950</v>
      </c>
      <c r="K261" t="s">
        <v>25</v>
      </c>
      <c r="L261" t="s">
        <v>33</v>
      </c>
      <c r="M261" s="20">
        <v>46203</v>
      </c>
      <c r="N261" s="20">
        <v>46175</v>
      </c>
      <c r="O261" t="s">
        <v>27</v>
      </c>
      <c r="P261" t="s">
        <v>1018</v>
      </c>
      <c r="Q261" t="s">
        <v>105</v>
      </c>
      <c r="R261" t="s">
        <v>29</v>
      </c>
      <c r="S261" t="s">
        <v>1012</v>
      </c>
      <c r="T261" t="str">
        <f>IF(OR(F261="Project - Competitive",F261="Project - Not Competitive"),"New Business","Upsell")</f>
        <v>Upsell</v>
      </c>
      <c r="U261" t="str">
        <f>TEXT(M261,"mm/aaaa")</f>
        <v>06/2026</v>
      </c>
      <c r="V261" t="str">
        <f t="shared" si="8"/>
        <v/>
      </c>
      <c r="W261" s="26">
        <f t="shared" ca="1" si="9"/>
        <v>0</v>
      </c>
    </row>
    <row r="262" spans="1:23">
      <c r="A262" t="s">
        <v>681</v>
      </c>
      <c r="B262" t="s">
        <v>115</v>
      </c>
      <c r="C262" t="s">
        <v>116</v>
      </c>
      <c r="D262" t="s">
        <v>117</v>
      </c>
      <c r="E262" t="s">
        <v>118</v>
      </c>
      <c r="F262" t="s">
        <v>23</v>
      </c>
      <c r="G262" t="s">
        <v>40</v>
      </c>
      <c r="H262">
        <v>274209.96999999997</v>
      </c>
      <c r="I262" t="s">
        <v>25</v>
      </c>
      <c r="J262">
        <v>30382.46</v>
      </c>
      <c r="K262" t="s">
        <v>25</v>
      </c>
      <c r="L262" t="s">
        <v>33</v>
      </c>
      <c r="M262" s="20">
        <v>46145</v>
      </c>
      <c r="N262" s="20">
        <v>46145</v>
      </c>
      <c r="O262" t="s">
        <v>27</v>
      </c>
      <c r="P262" t="s">
        <v>58</v>
      </c>
      <c r="Q262" t="s">
        <v>480</v>
      </c>
      <c r="R262" t="s">
        <v>73</v>
      </c>
      <c r="S262" t="s">
        <v>1012</v>
      </c>
      <c r="T262" t="str">
        <f>IF(OR(F262="Project - Competitive",F262="Project - Not Competitive"),"New Business","Upsell")</f>
        <v>Upsell</v>
      </c>
      <c r="U262" t="str">
        <f>TEXT(M262,"mm/aaaa")</f>
        <v>05/2026</v>
      </c>
      <c r="V262" t="str">
        <f t="shared" si="8"/>
        <v/>
      </c>
      <c r="W262" s="26" t="str">
        <f t="shared" ca="1" si="9"/>
        <v/>
      </c>
    </row>
    <row r="263" spans="1:23">
      <c r="A263" t="s">
        <v>264</v>
      </c>
      <c r="B263" t="s">
        <v>138</v>
      </c>
      <c r="C263" t="s">
        <v>139</v>
      </c>
      <c r="D263" t="s">
        <v>70</v>
      </c>
      <c r="E263" t="s">
        <v>214</v>
      </c>
      <c r="F263" t="s">
        <v>23</v>
      </c>
      <c r="G263" t="s">
        <v>40</v>
      </c>
      <c r="H263">
        <v>2518147.83</v>
      </c>
      <c r="I263" t="s">
        <v>25</v>
      </c>
      <c r="J263">
        <v>550471.68000000005</v>
      </c>
      <c r="K263" t="s">
        <v>25</v>
      </c>
      <c r="L263" t="s">
        <v>33</v>
      </c>
      <c r="M263" s="20">
        <v>46357</v>
      </c>
      <c r="N263" s="20">
        <v>45975</v>
      </c>
      <c r="O263" t="s">
        <v>27</v>
      </c>
      <c r="P263" t="s">
        <v>1018</v>
      </c>
      <c r="Q263" t="s">
        <v>51</v>
      </c>
      <c r="R263" t="s">
        <v>29</v>
      </c>
      <c r="S263" t="s">
        <v>1012</v>
      </c>
      <c r="T263" t="str">
        <f>IF(OR(F263="Project - Competitive",F263="Project - Not Competitive"),"New Business","Upsell")</f>
        <v>Upsell</v>
      </c>
      <c r="U263" t="str">
        <f>TEXT(M263,"mm/aaaa")</f>
        <v>12/2026</v>
      </c>
      <c r="V263">
        <f t="shared" si="8"/>
        <v>382</v>
      </c>
      <c r="W263" s="26" t="str">
        <f t="shared" ca="1" si="9"/>
        <v/>
      </c>
    </row>
    <row r="264" spans="1:23">
      <c r="A264" t="s">
        <v>391</v>
      </c>
      <c r="B264" t="s">
        <v>138</v>
      </c>
      <c r="C264" t="s">
        <v>139</v>
      </c>
      <c r="D264" t="s">
        <v>70</v>
      </c>
      <c r="E264" t="s">
        <v>214</v>
      </c>
      <c r="F264" t="s">
        <v>82</v>
      </c>
      <c r="G264" t="s">
        <v>40</v>
      </c>
      <c r="H264">
        <v>6770269.9100000001</v>
      </c>
      <c r="I264" t="s">
        <v>25</v>
      </c>
      <c r="J264">
        <v>911038.48</v>
      </c>
      <c r="K264" t="s">
        <v>25</v>
      </c>
      <c r="L264" t="s">
        <v>33</v>
      </c>
      <c r="M264" s="20">
        <v>46049</v>
      </c>
      <c r="N264" s="20">
        <v>46006</v>
      </c>
      <c r="O264" t="s">
        <v>27</v>
      </c>
      <c r="P264" t="s">
        <v>1018</v>
      </c>
      <c r="Q264" t="s">
        <v>306</v>
      </c>
      <c r="R264" t="s">
        <v>29</v>
      </c>
      <c r="S264" t="s">
        <v>1012</v>
      </c>
      <c r="T264" t="str">
        <f>IF(OR(F264="Project - Competitive",F264="Project - Not Competitive"),"New Business","Upsell")</f>
        <v>Upsell</v>
      </c>
      <c r="U264" t="str">
        <f>TEXT(M264,"mm/aaaa")</f>
        <v>01/2026</v>
      </c>
      <c r="V264">
        <f t="shared" si="8"/>
        <v>43</v>
      </c>
      <c r="W264" s="26" t="str">
        <f t="shared" ca="1" si="9"/>
        <v/>
      </c>
    </row>
    <row r="265" spans="1:23">
      <c r="A265" t="s">
        <v>166</v>
      </c>
      <c r="B265" t="s">
        <v>167</v>
      </c>
      <c r="C265" t="s">
        <v>168</v>
      </c>
      <c r="D265" t="s">
        <v>117</v>
      </c>
      <c r="E265" t="s">
        <v>170</v>
      </c>
      <c r="F265" t="s">
        <v>82</v>
      </c>
      <c r="G265" t="s">
        <v>40</v>
      </c>
      <c r="H265">
        <v>1758176.04</v>
      </c>
      <c r="I265" t="s">
        <v>25</v>
      </c>
      <c r="J265">
        <v>253104</v>
      </c>
      <c r="K265" t="s">
        <v>25</v>
      </c>
      <c r="L265" t="s">
        <v>33</v>
      </c>
      <c r="M265" s="20">
        <v>46268</v>
      </c>
      <c r="N265" s="20">
        <v>45910</v>
      </c>
      <c r="O265" t="s">
        <v>27</v>
      </c>
      <c r="P265" t="s">
        <v>58</v>
      </c>
      <c r="Q265" t="s">
        <v>105</v>
      </c>
      <c r="R265" t="s">
        <v>29</v>
      </c>
      <c r="S265" t="s">
        <v>1012</v>
      </c>
      <c r="T265" t="str">
        <f>IF(OR(F265="Project - Competitive",F265="Project - Not Competitive"),"New Business","Upsell")</f>
        <v>Upsell</v>
      </c>
      <c r="U265" t="str">
        <f>TEXT(M265,"mm/aaaa")</f>
        <v>09/2026</v>
      </c>
      <c r="V265">
        <f t="shared" si="8"/>
        <v>358</v>
      </c>
      <c r="W265" s="26" t="str">
        <f t="shared" ca="1" si="9"/>
        <v/>
      </c>
    </row>
    <row r="266" spans="1:23">
      <c r="A266" t="s">
        <v>856</v>
      </c>
      <c r="B266" t="s">
        <v>732</v>
      </c>
      <c r="C266" t="s">
        <v>733</v>
      </c>
      <c r="D266" t="s">
        <v>203</v>
      </c>
      <c r="E266" t="s">
        <v>734</v>
      </c>
      <c r="F266" t="s">
        <v>23</v>
      </c>
      <c r="G266" t="s">
        <v>24</v>
      </c>
      <c r="H266">
        <v>139766.74</v>
      </c>
      <c r="I266" t="s">
        <v>25</v>
      </c>
      <c r="J266">
        <v>75060.7</v>
      </c>
      <c r="K266" t="s">
        <v>25</v>
      </c>
      <c r="L266" t="s">
        <v>33</v>
      </c>
      <c r="M266" s="20">
        <v>46141</v>
      </c>
      <c r="N266" s="20">
        <v>46111</v>
      </c>
      <c r="O266" t="s">
        <v>149</v>
      </c>
      <c r="P266" t="s">
        <v>58</v>
      </c>
      <c r="Q266" t="s">
        <v>83</v>
      </c>
      <c r="R266" t="s">
        <v>73</v>
      </c>
      <c r="S266" t="s">
        <v>1015</v>
      </c>
      <c r="T266" t="str">
        <f>IF(OR(F266="Project - Competitive",F266="Project - Not Competitive"),"New Business","Upsell")</f>
        <v>Upsell</v>
      </c>
      <c r="U266" t="str">
        <f>TEXT(M266,"mm/aaaa")</f>
        <v>04/2026</v>
      </c>
      <c r="V266" t="str">
        <f t="shared" si="8"/>
        <v/>
      </c>
      <c r="W266" s="26">
        <f t="shared" ca="1" si="9"/>
        <v>27</v>
      </c>
    </row>
    <row r="267" spans="1:23">
      <c r="A267" t="s">
        <v>609</v>
      </c>
      <c r="B267" t="s">
        <v>610</v>
      </c>
      <c r="C267" t="s">
        <v>611</v>
      </c>
      <c r="D267" t="s">
        <v>55</v>
      </c>
      <c r="E267" t="s">
        <v>612</v>
      </c>
      <c r="F267" t="s">
        <v>23</v>
      </c>
      <c r="G267" t="s">
        <v>66</v>
      </c>
      <c r="H267">
        <v>694094.88</v>
      </c>
      <c r="I267" t="s">
        <v>25</v>
      </c>
      <c r="J267">
        <v>401671.67999999999</v>
      </c>
      <c r="K267" t="s">
        <v>25</v>
      </c>
      <c r="L267" t="s">
        <v>33</v>
      </c>
      <c r="M267" s="20">
        <v>46173</v>
      </c>
      <c r="N267" s="20">
        <v>46072</v>
      </c>
      <c r="O267" t="s">
        <v>27</v>
      </c>
      <c r="P267" t="s">
        <v>58</v>
      </c>
      <c r="Q267" t="s">
        <v>164</v>
      </c>
      <c r="R267" t="s">
        <v>29</v>
      </c>
      <c r="S267" t="s">
        <v>1012</v>
      </c>
      <c r="T267" t="str">
        <f>IF(OR(F267="Project - Competitive",F267="Project - Not Competitive"),"New Business","Upsell")</f>
        <v>Upsell</v>
      </c>
      <c r="U267" t="str">
        <f>TEXT(M267,"mm/aaaa")</f>
        <v>05/2026</v>
      </c>
      <c r="V267" t="str">
        <f t="shared" si="8"/>
        <v/>
      </c>
      <c r="W267" s="26">
        <f t="shared" ca="1" si="9"/>
        <v>66</v>
      </c>
    </row>
    <row r="268" spans="1:23">
      <c r="A268" t="s">
        <v>924</v>
      </c>
      <c r="B268" t="s">
        <v>610</v>
      </c>
      <c r="C268" t="s">
        <v>611</v>
      </c>
      <c r="D268" t="s">
        <v>55</v>
      </c>
      <c r="E268" t="s">
        <v>612</v>
      </c>
      <c r="F268" t="s">
        <v>23</v>
      </c>
      <c r="G268" t="s">
        <v>66</v>
      </c>
      <c r="H268">
        <v>57594.2</v>
      </c>
      <c r="I268" t="s">
        <v>25</v>
      </c>
      <c r="J268">
        <v>57594.2</v>
      </c>
      <c r="K268" t="s">
        <v>25</v>
      </c>
      <c r="L268" t="s">
        <v>33</v>
      </c>
      <c r="M268" s="20">
        <v>46270</v>
      </c>
      <c r="N268" s="20">
        <v>46269</v>
      </c>
      <c r="O268" t="s">
        <v>872</v>
      </c>
      <c r="P268" t="s">
        <v>58</v>
      </c>
      <c r="Q268" t="s">
        <v>165</v>
      </c>
      <c r="R268" t="s">
        <v>60</v>
      </c>
      <c r="S268" t="s">
        <v>1012</v>
      </c>
      <c r="T268" t="str">
        <f>IF(OR(F268="Project - Competitive",F268="Project - Not Competitive"),"New Business","Upsell")</f>
        <v>Upsell</v>
      </c>
      <c r="U268" t="str">
        <f>TEXT(M268,"mm/aaaa")</f>
        <v>09/2026</v>
      </c>
      <c r="V268" t="str">
        <f t="shared" si="8"/>
        <v/>
      </c>
      <c r="W268" s="26">
        <f t="shared" ca="1" si="9"/>
        <v>0</v>
      </c>
    </row>
    <row r="269" spans="1:23">
      <c r="A269" t="s">
        <v>302</v>
      </c>
      <c r="B269" t="s">
        <v>303</v>
      </c>
      <c r="C269" t="s">
        <v>304</v>
      </c>
      <c r="D269" t="s">
        <v>102</v>
      </c>
      <c r="E269" t="s">
        <v>305</v>
      </c>
      <c r="F269" t="s">
        <v>82</v>
      </c>
      <c r="G269" t="s">
        <v>40</v>
      </c>
      <c r="H269">
        <v>760000</v>
      </c>
      <c r="I269" t="s">
        <v>25</v>
      </c>
      <c r="J269">
        <v>164250</v>
      </c>
      <c r="K269" t="s">
        <v>25</v>
      </c>
      <c r="L269" t="s">
        <v>33</v>
      </c>
      <c r="M269" s="20">
        <v>46049</v>
      </c>
      <c r="N269" s="20">
        <v>45987</v>
      </c>
      <c r="O269" t="s">
        <v>27</v>
      </c>
      <c r="P269" t="s">
        <v>1018</v>
      </c>
      <c r="Q269" t="s">
        <v>306</v>
      </c>
      <c r="R269" t="s">
        <v>29</v>
      </c>
      <c r="S269" t="s">
        <v>1012</v>
      </c>
      <c r="T269" t="str">
        <f>IF(OR(F269="Project - Competitive",F269="Project - Not Competitive"),"New Business","Upsell")</f>
        <v>Upsell</v>
      </c>
      <c r="U269" t="str">
        <f>TEXT(M269,"mm/aaaa")</f>
        <v>01/2026</v>
      </c>
      <c r="V269">
        <f t="shared" si="8"/>
        <v>62</v>
      </c>
      <c r="W269" s="26" t="str">
        <f t="shared" ca="1" si="9"/>
        <v/>
      </c>
    </row>
    <row r="270" spans="1:23">
      <c r="A270" t="s">
        <v>397</v>
      </c>
      <c r="B270" t="s">
        <v>303</v>
      </c>
      <c r="C270" t="s">
        <v>304</v>
      </c>
      <c r="D270" t="s">
        <v>102</v>
      </c>
      <c r="E270" t="s">
        <v>305</v>
      </c>
      <c r="F270" t="s">
        <v>23</v>
      </c>
      <c r="G270" t="s">
        <v>40</v>
      </c>
      <c r="H270">
        <v>10784</v>
      </c>
      <c r="I270" t="s">
        <v>25</v>
      </c>
      <c r="J270">
        <v>5392</v>
      </c>
      <c r="K270" t="s">
        <v>25</v>
      </c>
      <c r="L270" t="s">
        <v>33</v>
      </c>
      <c r="M270" s="20">
        <v>46049</v>
      </c>
      <c r="N270" s="20">
        <v>46009</v>
      </c>
      <c r="O270" t="s">
        <v>27</v>
      </c>
      <c r="P270" t="s">
        <v>1018</v>
      </c>
      <c r="Q270" t="s">
        <v>306</v>
      </c>
      <c r="R270" t="s">
        <v>29</v>
      </c>
      <c r="S270" t="s">
        <v>1012</v>
      </c>
      <c r="T270" t="str">
        <f>IF(OR(F270="Project - Competitive",F270="Project - Not Competitive"),"New Business","Upsell")</f>
        <v>Upsell</v>
      </c>
      <c r="U270" t="str">
        <f>TEXT(M270,"mm/aaaa")</f>
        <v>01/2026</v>
      </c>
      <c r="V270">
        <f t="shared" si="8"/>
        <v>40</v>
      </c>
      <c r="W270" s="26" t="str">
        <f t="shared" ca="1" si="9"/>
        <v/>
      </c>
    </row>
    <row r="271" spans="1:23">
      <c r="A271" t="s">
        <v>286</v>
      </c>
      <c r="B271" t="s">
        <v>287</v>
      </c>
      <c r="C271" t="s">
        <v>288</v>
      </c>
      <c r="D271" t="s">
        <v>132</v>
      </c>
      <c r="E271" t="s">
        <v>292</v>
      </c>
      <c r="F271" t="s">
        <v>39</v>
      </c>
      <c r="G271" t="s">
        <v>40</v>
      </c>
      <c r="H271">
        <v>195525</v>
      </c>
      <c r="I271" t="s">
        <v>25</v>
      </c>
      <c r="J271">
        <v>51574.92</v>
      </c>
      <c r="K271" t="s">
        <v>25</v>
      </c>
      <c r="L271" t="s">
        <v>33</v>
      </c>
      <c r="M271" s="20">
        <v>46112</v>
      </c>
      <c r="N271" s="20">
        <v>45987</v>
      </c>
      <c r="O271" t="s">
        <v>290</v>
      </c>
      <c r="P271" t="s">
        <v>58</v>
      </c>
      <c r="Q271" t="s">
        <v>83</v>
      </c>
      <c r="R271" t="s">
        <v>185</v>
      </c>
      <c r="S271" t="s">
        <v>1015</v>
      </c>
      <c r="T271" t="str">
        <f>IF(OR(F271="Project - Competitive",F271="Project - Not Competitive"),"New Business","Upsell")</f>
        <v>New Business</v>
      </c>
      <c r="U271" t="str">
        <f>TEXT(M271,"mm/aaaa")</f>
        <v>03/2026</v>
      </c>
      <c r="V271">
        <f t="shared" si="8"/>
        <v>125</v>
      </c>
      <c r="W271" s="26" t="str">
        <f t="shared" ca="1" si="9"/>
        <v/>
      </c>
    </row>
    <row r="272" spans="1:23">
      <c r="A272" t="s">
        <v>718</v>
      </c>
      <c r="B272" t="s">
        <v>719</v>
      </c>
      <c r="C272" t="s">
        <v>720</v>
      </c>
      <c r="D272" t="s">
        <v>203</v>
      </c>
      <c r="E272" t="s">
        <v>722</v>
      </c>
      <c r="F272" t="s">
        <v>39</v>
      </c>
      <c r="G272" t="s">
        <v>66</v>
      </c>
      <c r="H272">
        <v>835250.32000000007</v>
      </c>
      <c r="I272" t="s">
        <v>25</v>
      </c>
      <c r="J272">
        <v>278294.40000000002</v>
      </c>
      <c r="K272" t="s">
        <v>25</v>
      </c>
      <c r="L272" t="s">
        <v>33</v>
      </c>
      <c r="M272" s="20">
        <v>46155</v>
      </c>
      <c r="N272" s="20">
        <v>46329</v>
      </c>
      <c r="O272" t="s">
        <v>50</v>
      </c>
      <c r="P272" t="s">
        <v>1018</v>
      </c>
      <c r="Q272" t="s">
        <v>409</v>
      </c>
      <c r="R272" t="s">
        <v>29</v>
      </c>
      <c r="S272" t="s">
        <v>1015</v>
      </c>
      <c r="T272" t="str">
        <f>IF(OR(F272="Project - Competitive",F272="Project - Not Competitive"),"New Business","Upsell")</f>
        <v>New Business</v>
      </c>
      <c r="U272" t="str">
        <f>TEXT(M272,"mm/aaaa")</f>
        <v>05/2026</v>
      </c>
      <c r="V272" t="str">
        <f t="shared" si="8"/>
        <v/>
      </c>
      <c r="W272" s="26">
        <f t="shared" ca="1" si="9"/>
        <v>0</v>
      </c>
    </row>
    <row r="273" spans="1:23">
      <c r="A273" t="s">
        <v>78</v>
      </c>
      <c r="B273" t="s">
        <v>79</v>
      </c>
      <c r="C273" t="s">
        <v>80</v>
      </c>
      <c r="D273" t="s">
        <v>70</v>
      </c>
      <c r="E273" t="s">
        <v>84</v>
      </c>
      <c r="F273" t="s">
        <v>82</v>
      </c>
      <c r="G273" t="s">
        <v>40</v>
      </c>
      <c r="H273">
        <v>2706200.27</v>
      </c>
      <c r="I273" t="s">
        <v>25</v>
      </c>
      <c r="J273">
        <v>70270.64</v>
      </c>
      <c r="K273" t="s">
        <v>25</v>
      </c>
      <c r="L273" t="s">
        <v>33</v>
      </c>
      <c r="M273" s="20">
        <v>46112</v>
      </c>
      <c r="N273" s="20">
        <v>45891</v>
      </c>
      <c r="O273" t="s">
        <v>27</v>
      </c>
      <c r="P273" t="s">
        <v>1018</v>
      </c>
      <c r="Q273" t="s">
        <v>83</v>
      </c>
      <c r="R273" t="s">
        <v>29</v>
      </c>
      <c r="S273" t="s">
        <v>1012</v>
      </c>
      <c r="T273" t="str">
        <f>IF(OR(F273="Project - Competitive",F273="Project - Not Competitive"),"New Business","Upsell")</f>
        <v>Upsell</v>
      </c>
      <c r="U273" t="str">
        <f>TEXT(M273,"mm/aaaa")</f>
        <v>03/2026</v>
      </c>
      <c r="V273">
        <f t="shared" si="8"/>
        <v>221</v>
      </c>
      <c r="W273" s="26" t="str">
        <f t="shared" ca="1" si="9"/>
        <v/>
      </c>
    </row>
    <row r="274" spans="1:23">
      <c r="A274" t="s">
        <v>634</v>
      </c>
      <c r="B274" t="s">
        <v>448</v>
      </c>
      <c r="C274" t="s">
        <v>449</v>
      </c>
      <c r="D274" t="s">
        <v>328</v>
      </c>
      <c r="E274" t="s">
        <v>450</v>
      </c>
      <c r="F274" t="s">
        <v>23</v>
      </c>
      <c r="G274" t="s">
        <v>24</v>
      </c>
      <c r="H274">
        <v>601599.48</v>
      </c>
      <c r="I274" t="s">
        <v>25</v>
      </c>
      <c r="J274">
        <v>474051.84000000003</v>
      </c>
      <c r="K274" t="s">
        <v>25</v>
      </c>
      <c r="L274" t="s">
        <v>26</v>
      </c>
      <c r="M274" s="20">
        <v>46142</v>
      </c>
      <c r="N274" s="20">
        <v>46079</v>
      </c>
      <c r="O274" t="s">
        <v>27</v>
      </c>
      <c r="P274" t="s">
        <v>1018</v>
      </c>
      <c r="Q274" t="s">
        <v>636</v>
      </c>
      <c r="R274" t="s">
        <v>29</v>
      </c>
      <c r="S274" t="s">
        <v>1012</v>
      </c>
      <c r="T274" t="str">
        <f>IF(OR(F274="Project - Competitive",F274="Project - Not Competitive"),"New Business","Upsell")</f>
        <v>Upsell</v>
      </c>
      <c r="U274" t="str">
        <f>TEXT(M274,"mm/aaaa")</f>
        <v>04/2026</v>
      </c>
      <c r="V274" t="str">
        <f t="shared" si="8"/>
        <v/>
      </c>
      <c r="W274" s="26">
        <f t="shared" ca="1" si="9"/>
        <v>59</v>
      </c>
    </row>
    <row r="275" spans="1:23">
      <c r="A275" t="s">
        <v>735</v>
      </c>
      <c r="B275" t="s">
        <v>736</v>
      </c>
      <c r="C275" t="s">
        <v>737</v>
      </c>
      <c r="D275" t="s">
        <v>126</v>
      </c>
      <c r="E275" t="s">
        <v>738</v>
      </c>
      <c r="F275" t="s">
        <v>23</v>
      </c>
      <c r="G275" t="s">
        <v>66</v>
      </c>
      <c r="H275">
        <v>1302107.45</v>
      </c>
      <c r="I275" t="s">
        <v>25</v>
      </c>
      <c r="J275">
        <v>1036486.24</v>
      </c>
      <c r="K275" t="s">
        <v>25</v>
      </c>
      <c r="L275" t="s">
        <v>26</v>
      </c>
      <c r="M275" s="20">
        <v>46173</v>
      </c>
      <c r="N275" s="20">
        <v>46329</v>
      </c>
      <c r="O275" t="s">
        <v>355</v>
      </c>
      <c r="P275" t="s">
        <v>58</v>
      </c>
      <c r="Q275" t="s">
        <v>446</v>
      </c>
      <c r="R275" t="s">
        <v>29</v>
      </c>
      <c r="S275" t="s">
        <v>1016</v>
      </c>
      <c r="T275" t="str">
        <f>IF(OR(F275="Project - Competitive",F275="Project - Not Competitive"),"New Business","Upsell")</f>
        <v>Upsell</v>
      </c>
      <c r="U275" t="str">
        <f>TEXT(M275,"mm/aaaa")</f>
        <v>05/2026</v>
      </c>
      <c r="V275" t="str">
        <f t="shared" si="8"/>
        <v/>
      </c>
      <c r="W275" s="26">
        <f t="shared" ca="1" si="9"/>
        <v>0</v>
      </c>
    </row>
    <row r="276" spans="1:23" ht="14.4" customHeight="1">
      <c r="A276" t="s">
        <v>123</v>
      </c>
      <c r="B276" t="s">
        <v>124</v>
      </c>
      <c r="C276" t="s">
        <v>125</v>
      </c>
      <c r="D276" t="s">
        <v>126</v>
      </c>
      <c r="E276" t="s">
        <v>127</v>
      </c>
      <c r="F276" t="s">
        <v>82</v>
      </c>
      <c r="G276" t="s">
        <v>40</v>
      </c>
      <c r="H276">
        <v>106500</v>
      </c>
      <c r="I276" t="s">
        <v>25</v>
      </c>
      <c r="J276">
        <v>106500</v>
      </c>
      <c r="K276" t="s">
        <v>25</v>
      </c>
      <c r="L276" t="s">
        <v>26</v>
      </c>
      <c r="M276" s="20">
        <v>46044</v>
      </c>
      <c r="N276" s="20">
        <v>45919</v>
      </c>
      <c r="O276" t="s">
        <v>27</v>
      </c>
      <c r="P276" t="s">
        <v>1018</v>
      </c>
      <c r="Q276" t="s">
        <v>128</v>
      </c>
      <c r="R276" t="s">
        <v>29</v>
      </c>
      <c r="S276" t="s">
        <v>1012</v>
      </c>
      <c r="T276" t="str">
        <f>IF(OR(F276="Project - Competitive",F276="Project - Not Competitive"),"New Business","Upsell")</f>
        <v>Upsell</v>
      </c>
      <c r="U276" t="str">
        <f>TEXT(M276,"mm/aaaa")</f>
        <v>01/2026</v>
      </c>
      <c r="V276">
        <f t="shared" si="8"/>
        <v>125</v>
      </c>
      <c r="W276" s="26" t="str">
        <f t="shared" ca="1" si="9"/>
        <v/>
      </c>
    </row>
    <row r="277" spans="1:23" ht="14.4" customHeight="1">
      <c r="A277" t="s">
        <v>183</v>
      </c>
      <c r="B277" t="s">
        <v>124</v>
      </c>
      <c r="C277" t="s">
        <v>125</v>
      </c>
      <c r="D277" t="s">
        <v>126</v>
      </c>
      <c r="E277" t="s">
        <v>127</v>
      </c>
      <c r="F277" t="s">
        <v>82</v>
      </c>
      <c r="G277" t="s">
        <v>40</v>
      </c>
      <c r="H277">
        <v>247500</v>
      </c>
      <c r="I277" t="s">
        <v>25</v>
      </c>
      <c r="J277">
        <v>247500</v>
      </c>
      <c r="K277" t="s">
        <v>25</v>
      </c>
      <c r="L277" t="s">
        <v>26</v>
      </c>
      <c r="M277" s="20">
        <v>46053</v>
      </c>
      <c r="N277" s="20">
        <v>45946</v>
      </c>
      <c r="O277" t="s">
        <v>27</v>
      </c>
      <c r="P277" t="s">
        <v>1018</v>
      </c>
      <c r="Q277" t="s">
        <v>184</v>
      </c>
      <c r="R277" t="s">
        <v>185</v>
      </c>
      <c r="S277" t="s">
        <v>1012</v>
      </c>
      <c r="T277" t="str">
        <f>IF(OR(F277="Project - Competitive",F277="Project - Not Competitive"),"New Business","Upsell")</f>
        <v>Upsell</v>
      </c>
      <c r="U277" t="str">
        <f>TEXT(M277,"mm/aaaa")</f>
        <v>01/2026</v>
      </c>
      <c r="V277">
        <f t="shared" si="8"/>
        <v>107</v>
      </c>
      <c r="W277" s="26" t="str">
        <f t="shared" ca="1" si="9"/>
        <v/>
      </c>
    </row>
    <row r="278" spans="1:23">
      <c r="A278" t="s">
        <v>674</v>
      </c>
      <c r="B278" t="s">
        <v>124</v>
      </c>
      <c r="C278" t="s">
        <v>125</v>
      </c>
      <c r="D278" t="s">
        <v>126</v>
      </c>
      <c r="E278" t="s">
        <v>127</v>
      </c>
      <c r="F278" t="s">
        <v>23</v>
      </c>
      <c r="G278" t="s">
        <v>24</v>
      </c>
      <c r="H278">
        <v>1438053.84</v>
      </c>
      <c r="I278" t="s">
        <v>25</v>
      </c>
      <c r="J278">
        <v>1438053.84</v>
      </c>
      <c r="K278" t="s">
        <v>25</v>
      </c>
      <c r="L278" t="s">
        <v>26</v>
      </c>
      <c r="M278" s="20">
        <v>46142</v>
      </c>
      <c r="N278" s="20">
        <v>46115</v>
      </c>
      <c r="O278" t="s">
        <v>27</v>
      </c>
      <c r="P278" t="s">
        <v>58</v>
      </c>
      <c r="Q278" t="s">
        <v>676</v>
      </c>
      <c r="R278" t="s">
        <v>29</v>
      </c>
      <c r="S278" t="s">
        <v>1012</v>
      </c>
      <c r="T278" t="str">
        <f>IF(OR(F278="Project - Competitive",F278="Project - Not Competitive"),"New Business","Upsell")</f>
        <v>Upsell</v>
      </c>
      <c r="U278" t="str">
        <f>TEXT(M278,"mm/aaaa")</f>
        <v>04/2026</v>
      </c>
      <c r="V278" t="str">
        <f t="shared" si="8"/>
        <v/>
      </c>
      <c r="W278" s="26">
        <f t="shared" ca="1" si="9"/>
        <v>23</v>
      </c>
    </row>
    <row r="279" spans="1:23">
      <c r="A279" t="s">
        <v>574</v>
      </c>
      <c r="B279" t="s">
        <v>124</v>
      </c>
      <c r="C279" t="s">
        <v>125</v>
      </c>
      <c r="D279" t="s">
        <v>126</v>
      </c>
      <c r="E279" t="s">
        <v>127</v>
      </c>
      <c r="F279" t="s">
        <v>23</v>
      </c>
      <c r="G279" t="s">
        <v>119</v>
      </c>
      <c r="H279">
        <v>1429074.08</v>
      </c>
      <c r="I279" t="s">
        <v>25</v>
      </c>
      <c r="J279">
        <v>117901.4</v>
      </c>
      <c r="K279" t="s">
        <v>25</v>
      </c>
      <c r="L279" t="s">
        <v>26</v>
      </c>
      <c r="M279" s="20">
        <v>46171</v>
      </c>
      <c r="N279" s="20">
        <v>46066</v>
      </c>
      <c r="O279" t="s">
        <v>27</v>
      </c>
      <c r="P279" t="s">
        <v>1018</v>
      </c>
      <c r="Q279" t="s">
        <v>164</v>
      </c>
      <c r="R279" t="s">
        <v>29</v>
      </c>
      <c r="S279" t="s">
        <v>1012</v>
      </c>
      <c r="T279" t="str">
        <f>IF(OR(F279="Project - Competitive",F279="Project - Not Competitive"),"New Business","Upsell")</f>
        <v>Upsell</v>
      </c>
      <c r="U279" t="str">
        <f>TEXT(M279,"mm/aaaa")</f>
        <v>05/2026</v>
      </c>
      <c r="V279" t="str">
        <f t="shared" si="8"/>
        <v/>
      </c>
      <c r="W279" s="26">
        <f t="shared" ca="1" si="9"/>
        <v>72</v>
      </c>
    </row>
    <row r="280" spans="1:23">
      <c r="A280" t="s">
        <v>317</v>
      </c>
      <c r="B280" t="s">
        <v>124</v>
      </c>
      <c r="C280" t="s">
        <v>125</v>
      </c>
      <c r="D280" t="s">
        <v>126</v>
      </c>
      <c r="E280" t="s">
        <v>576</v>
      </c>
      <c r="F280" t="s">
        <v>23</v>
      </c>
      <c r="G280" t="s">
        <v>24</v>
      </c>
      <c r="H280">
        <v>235251.12000000002</v>
      </c>
      <c r="I280" t="s">
        <v>25</v>
      </c>
      <c r="J280">
        <v>187259.89</v>
      </c>
      <c r="K280" t="s">
        <v>25</v>
      </c>
      <c r="L280" t="s">
        <v>26</v>
      </c>
      <c r="M280" s="20">
        <v>46173</v>
      </c>
      <c r="N280" s="20">
        <v>45989</v>
      </c>
      <c r="O280" t="s">
        <v>27</v>
      </c>
      <c r="P280" t="s">
        <v>58</v>
      </c>
      <c r="Q280" t="s">
        <v>252</v>
      </c>
      <c r="R280" t="s">
        <v>29</v>
      </c>
      <c r="S280" t="s">
        <v>1012</v>
      </c>
      <c r="T280" t="str">
        <f>IF(OR(F280="Project - Competitive",F280="Project - Not Competitive"),"New Business","Upsell")</f>
        <v>Upsell</v>
      </c>
      <c r="U280" t="str">
        <f>TEXT(M280,"mm/aaaa")</f>
        <v>05/2026</v>
      </c>
      <c r="V280" t="str">
        <f t="shared" si="8"/>
        <v/>
      </c>
      <c r="W280" s="26">
        <f t="shared" ca="1" si="9"/>
        <v>149</v>
      </c>
    </row>
    <row r="281" spans="1:23">
      <c r="A281" t="s">
        <v>194</v>
      </c>
      <c r="B281" t="s">
        <v>124</v>
      </c>
      <c r="C281" t="s">
        <v>125</v>
      </c>
      <c r="D281" t="s">
        <v>126</v>
      </c>
      <c r="E281" t="s">
        <v>675</v>
      </c>
      <c r="F281" t="s">
        <v>23</v>
      </c>
      <c r="G281" t="s">
        <v>40</v>
      </c>
      <c r="H281">
        <v>112013.46</v>
      </c>
      <c r="I281" t="s">
        <v>25</v>
      </c>
      <c r="J281">
        <v>112013.46</v>
      </c>
      <c r="K281" t="s">
        <v>25</v>
      </c>
      <c r="L281" t="s">
        <v>26</v>
      </c>
      <c r="M281" s="20">
        <v>46052</v>
      </c>
      <c r="N281" s="20">
        <v>45953</v>
      </c>
      <c r="O281" t="s">
        <v>27</v>
      </c>
      <c r="P281" t="s">
        <v>1018</v>
      </c>
      <c r="Q281" t="s">
        <v>195</v>
      </c>
      <c r="R281" t="s">
        <v>122</v>
      </c>
      <c r="S281" t="s">
        <v>1012</v>
      </c>
      <c r="T281" t="str">
        <f>IF(OR(F281="Project - Competitive",F281="Project - Not Competitive"),"New Business","Upsell")</f>
        <v>Upsell</v>
      </c>
      <c r="U281" t="str">
        <f>TEXT(M281,"mm/aaaa")</f>
        <v>01/2026</v>
      </c>
      <c r="V281">
        <f t="shared" si="8"/>
        <v>99</v>
      </c>
      <c r="W281" s="26" t="str">
        <f t="shared" ca="1" si="9"/>
        <v/>
      </c>
    </row>
    <row r="282" spans="1:23">
      <c r="A282" t="s">
        <v>143</v>
      </c>
      <c r="B282" t="s">
        <v>124</v>
      </c>
      <c r="C282" t="s">
        <v>125</v>
      </c>
      <c r="D282" t="s">
        <v>126</v>
      </c>
      <c r="E282" t="s">
        <v>746</v>
      </c>
      <c r="F282" t="s">
        <v>23</v>
      </c>
      <c r="G282" t="s">
        <v>40</v>
      </c>
      <c r="H282">
        <v>88500</v>
      </c>
      <c r="I282" t="s">
        <v>25</v>
      </c>
      <c r="J282">
        <v>88500</v>
      </c>
      <c r="K282" t="s">
        <v>25</v>
      </c>
      <c r="L282" t="s">
        <v>26</v>
      </c>
      <c r="M282" s="20">
        <v>46044</v>
      </c>
      <c r="N282" s="20">
        <v>45926</v>
      </c>
      <c r="O282" t="s">
        <v>27</v>
      </c>
      <c r="P282" t="s">
        <v>1018</v>
      </c>
      <c r="Q282" t="s">
        <v>128</v>
      </c>
      <c r="R282" t="s">
        <v>29</v>
      </c>
      <c r="S282" t="s">
        <v>1012</v>
      </c>
      <c r="T282" t="str">
        <f>IF(OR(F282="Project - Competitive",F282="Project - Not Competitive"),"New Business","Upsell")</f>
        <v>Upsell</v>
      </c>
      <c r="U282" t="str">
        <f>TEXT(M282,"mm/aaaa")</f>
        <v>01/2026</v>
      </c>
      <c r="V282">
        <f t="shared" si="8"/>
        <v>118</v>
      </c>
      <c r="W282" s="26" t="str">
        <f t="shared" ca="1" si="9"/>
        <v/>
      </c>
    </row>
    <row r="283" spans="1:23" ht="14.4" customHeight="1">
      <c r="A283" t="s">
        <v>823</v>
      </c>
      <c r="B283" t="s">
        <v>124</v>
      </c>
      <c r="C283" t="s">
        <v>125</v>
      </c>
      <c r="D283" t="s">
        <v>126</v>
      </c>
      <c r="E283" t="s">
        <v>912</v>
      </c>
      <c r="F283" t="s">
        <v>23</v>
      </c>
      <c r="G283" t="s">
        <v>535</v>
      </c>
      <c r="H283">
        <v>0</v>
      </c>
      <c r="I283" t="s">
        <v>25</v>
      </c>
      <c r="J283">
        <v>0</v>
      </c>
      <c r="K283" t="s">
        <v>25</v>
      </c>
      <c r="L283" t="s">
        <v>26</v>
      </c>
      <c r="M283" s="20">
        <v>46203</v>
      </c>
      <c r="N283" s="20">
        <v>46107</v>
      </c>
      <c r="O283" t="s">
        <v>314</v>
      </c>
      <c r="P283" t="s">
        <v>58</v>
      </c>
      <c r="Q283" t="s">
        <v>451</v>
      </c>
      <c r="R283" t="s">
        <v>29</v>
      </c>
      <c r="S283" t="s">
        <v>1016</v>
      </c>
      <c r="T283" t="str">
        <f>IF(OR(F283="Project - Competitive",F283="Project - Not Competitive"),"New Business","Upsell")</f>
        <v>Upsell</v>
      </c>
      <c r="U283" t="str">
        <f>TEXT(M283,"mm/aaaa")</f>
        <v>06/2026</v>
      </c>
      <c r="V283" t="str">
        <f t="shared" si="8"/>
        <v/>
      </c>
      <c r="W283" s="26">
        <f t="shared" ca="1" si="9"/>
        <v>31</v>
      </c>
    </row>
    <row r="284" spans="1:23" ht="14.4" customHeight="1">
      <c r="A284" t="s">
        <v>248</v>
      </c>
      <c r="B284" t="s">
        <v>249</v>
      </c>
      <c r="C284" t="s">
        <v>250</v>
      </c>
      <c r="D284" t="s">
        <v>95</v>
      </c>
      <c r="E284" t="s">
        <v>253</v>
      </c>
      <c r="F284" t="s">
        <v>82</v>
      </c>
      <c r="G284" t="s">
        <v>40</v>
      </c>
      <c r="H284">
        <v>253579.55</v>
      </c>
      <c r="I284" t="s">
        <v>25</v>
      </c>
      <c r="J284">
        <v>101137.49</v>
      </c>
      <c r="K284" t="s">
        <v>25</v>
      </c>
      <c r="L284" t="s">
        <v>26</v>
      </c>
      <c r="M284" s="20">
        <v>46053</v>
      </c>
      <c r="N284" s="20">
        <v>45975</v>
      </c>
      <c r="O284" t="s">
        <v>27</v>
      </c>
      <c r="P284" t="s">
        <v>1018</v>
      </c>
      <c r="Q284" t="s">
        <v>252</v>
      </c>
      <c r="R284" t="s">
        <v>73</v>
      </c>
      <c r="S284" t="s">
        <v>1012</v>
      </c>
      <c r="T284" t="str">
        <f>IF(OR(F284="Project - Competitive",F284="Project - Not Competitive"),"New Business","Upsell")</f>
        <v>Upsell</v>
      </c>
      <c r="U284" t="str">
        <f>TEXT(M284,"mm/aaaa")</f>
        <v>01/2026</v>
      </c>
      <c r="V284">
        <f t="shared" si="8"/>
        <v>78</v>
      </c>
      <c r="W284" s="26" t="str">
        <f t="shared" ca="1" si="9"/>
        <v/>
      </c>
    </row>
    <row r="285" spans="1:23" ht="14.4" customHeight="1">
      <c r="A285" t="s">
        <v>429</v>
      </c>
      <c r="B285" t="s">
        <v>249</v>
      </c>
      <c r="C285" t="s">
        <v>250</v>
      </c>
      <c r="D285" t="s">
        <v>95</v>
      </c>
      <c r="E285" t="s">
        <v>431</v>
      </c>
      <c r="F285" t="s">
        <v>82</v>
      </c>
      <c r="G285" t="s">
        <v>66</v>
      </c>
      <c r="H285">
        <v>2132708.1</v>
      </c>
      <c r="I285" t="s">
        <v>25</v>
      </c>
      <c r="J285">
        <v>303403.38</v>
      </c>
      <c r="K285" t="s">
        <v>25</v>
      </c>
      <c r="L285" t="s">
        <v>26</v>
      </c>
      <c r="M285" s="20">
        <v>46173</v>
      </c>
      <c r="N285" s="20">
        <v>46357</v>
      </c>
      <c r="O285" t="s">
        <v>27</v>
      </c>
      <c r="P285" t="s">
        <v>1018</v>
      </c>
      <c r="Q285" t="s">
        <v>106</v>
      </c>
      <c r="R285" t="s">
        <v>29</v>
      </c>
      <c r="S285" t="s">
        <v>1012</v>
      </c>
      <c r="T285" t="str">
        <f>IF(OR(F285="Project - Competitive",F285="Project - Not Competitive"),"New Business","Upsell")</f>
        <v>Upsell</v>
      </c>
      <c r="U285" t="str">
        <f>TEXT(M285,"mm/aaaa")</f>
        <v>05/2026</v>
      </c>
      <c r="V285" t="str">
        <f t="shared" si="8"/>
        <v/>
      </c>
      <c r="W285" s="26">
        <f t="shared" ca="1" si="9"/>
        <v>0</v>
      </c>
    </row>
    <row r="286" spans="1:23" ht="14.4" customHeight="1">
      <c r="A286" t="s">
        <v>992</v>
      </c>
      <c r="B286" t="s">
        <v>993</v>
      </c>
      <c r="C286" t="s">
        <v>994</v>
      </c>
      <c r="D286" t="s">
        <v>995</v>
      </c>
      <c r="E286" t="s">
        <v>996</v>
      </c>
      <c r="G286" t="s">
        <v>112</v>
      </c>
      <c r="H286">
        <v>370000</v>
      </c>
      <c r="I286" t="s">
        <v>997</v>
      </c>
      <c r="J286">
        <v>370000</v>
      </c>
      <c r="K286" t="s">
        <v>997</v>
      </c>
      <c r="L286" t="s">
        <v>26</v>
      </c>
      <c r="M286" s="20">
        <v>46173</v>
      </c>
      <c r="N286" s="20">
        <v>46126</v>
      </c>
      <c r="O286" t="s">
        <v>872</v>
      </c>
      <c r="P286" t="s">
        <v>1018</v>
      </c>
      <c r="Q286" t="s">
        <v>73</v>
      </c>
      <c r="R286" t="s">
        <v>29</v>
      </c>
      <c r="S286" t="s">
        <v>1012</v>
      </c>
      <c r="T286" t="str">
        <f>IF(OR(F286="Project - Competitive",F286="Project - Not Competitive"),"New Business","Upsell")</f>
        <v>Upsell</v>
      </c>
      <c r="U286" t="str">
        <f>TEXT(M286,"mm/aaaa")</f>
        <v>05/2026</v>
      </c>
      <c r="V286" t="str">
        <f t="shared" si="8"/>
        <v/>
      </c>
      <c r="W286" s="26">
        <f t="shared" ca="1" si="9"/>
        <v>12</v>
      </c>
    </row>
    <row r="287" spans="1:23" ht="14.4" customHeight="1">
      <c r="A287" t="s">
        <v>186</v>
      </c>
      <c r="B287" t="s">
        <v>187</v>
      </c>
      <c r="C287" t="s">
        <v>188</v>
      </c>
      <c r="D287" t="s">
        <v>47</v>
      </c>
      <c r="E287" t="s">
        <v>189</v>
      </c>
      <c r="F287" t="s">
        <v>190</v>
      </c>
      <c r="G287" t="s">
        <v>119</v>
      </c>
      <c r="H287">
        <v>36000</v>
      </c>
      <c r="I287" t="s">
        <v>25</v>
      </c>
      <c r="J287">
        <v>12000</v>
      </c>
      <c r="K287" t="s">
        <v>25</v>
      </c>
      <c r="L287" t="s">
        <v>26</v>
      </c>
      <c r="M287" s="20">
        <v>46202</v>
      </c>
      <c r="N287" s="20">
        <v>45950</v>
      </c>
      <c r="O287" t="s">
        <v>135</v>
      </c>
      <c r="P287" t="s">
        <v>1018</v>
      </c>
      <c r="Q287" t="s">
        <v>191</v>
      </c>
      <c r="R287" t="s">
        <v>29</v>
      </c>
      <c r="S287" t="s">
        <v>1014</v>
      </c>
      <c r="T287" t="str">
        <f>IF(OR(F287="Project - Competitive",F287="Project - Not Competitive"),"New Business","Upsell")</f>
        <v>Upsell</v>
      </c>
      <c r="U287" t="str">
        <f>TEXT(M287,"mm/aaaa")</f>
        <v>06/2026</v>
      </c>
      <c r="V287" t="str">
        <f t="shared" si="8"/>
        <v/>
      </c>
      <c r="W287" s="26">
        <f t="shared" ca="1" si="9"/>
        <v>188</v>
      </c>
    </row>
    <row r="288" spans="1:23" ht="14.4" customHeight="1">
      <c r="A288" t="s">
        <v>493</v>
      </c>
      <c r="B288" t="s">
        <v>494</v>
      </c>
      <c r="C288" t="s">
        <v>495</v>
      </c>
      <c r="D288" t="s">
        <v>126</v>
      </c>
      <c r="E288" t="s">
        <v>498</v>
      </c>
      <c r="F288" t="s">
        <v>23</v>
      </c>
      <c r="G288" t="s">
        <v>119</v>
      </c>
      <c r="H288">
        <v>4565828.57</v>
      </c>
      <c r="I288" t="s">
        <v>25</v>
      </c>
      <c r="J288">
        <v>1423654.78</v>
      </c>
      <c r="K288" t="s">
        <v>25</v>
      </c>
      <c r="L288" t="s">
        <v>26</v>
      </c>
      <c r="M288" s="20">
        <v>46203</v>
      </c>
      <c r="N288" s="20">
        <v>46048</v>
      </c>
      <c r="O288" t="s">
        <v>27</v>
      </c>
      <c r="P288" t="s">
        <v>58</v>
      </c>
      <c r="Q288" t="s">
        <v>164</v>
      </c>
      <c r="R288" t="s">
        <v>29</v>
      </c>
      <c r="S288" t="s">
        <v>1012</v>
      </c>
      <c r="T288" t="str">
        <f>IF(OR(F288="Project - Competitive",F288="Project - Not Competitive"),"New Business","Upsell")</f>
        <v>Upsell</v>
      </c>
      <c r="U288" t="str">
        <f>TEXT(M288,"mm/aaaa")</f>
        <v>06/2026</v>
      </c>
      <c r="V288" t="str">
        <f t="shared" si="8"/>
        <v/>
      </c>
      <c r="W288" s="26">
        <f t="shared" ca="1" si="9"/>
        <v>90</v>
      </c>
    </row>
    <row r="289" spans="1:23">
      <c r="A289" t="s">
        <v>295</v>
      </c>
      <c r="B289" t="s">
        <v>296</v>
      </c>
      <c r="C289" t="s">
        <v>297</v>
      </c>
      <c r="D289" t="s">
        <v>298</v>
      </c>
      <c r="E289" t="s">
        <v>299</v>
      </c>
      <c r="F289" t="s">
        <v>49</v>
      </c>
      <c r="G289" t="s">
        <v>40</v>
      </c>
      <c r="H289">
        <v>1680000</v>
      </c>
      <c r="I289" t="s">
        <v>25</v>
      </c>
      <c r="J289">
        <v>1680000</v>
      </c>
      <c r="K289" t="s">
        <v>25</v>
      </c>
      <c r="L289" t="s">
        <v>26</v>
      </c>
      <c r="M289" s="20">
        <v>46036</v>
      </c>
      <c r="N289" s="20">
        <v>45987</v>
      </c>
      <c r="O289" t="s">
        <v>290</v>
      </c>
      <c r="P289" t="s">
        <v>58</v>
      </c>
      <c r="Q289" t="s">
        <v>59</v>
      </c>
      <c r="R289" t="s">
        <v>29</v>
      </c>
      <c r="S289" t="s">
        <v>1015</v>
      </c>
      <c r="T289" t="str">
        <f>IF(OR(F289="Project - Competitive",F289="Project - Not Competitive"),"New Business","Upsell")</f>
        <v>New Business</v>
      </c>
      <c r="U289" t="str">
        <f>TEXT(M289,"mm/aaaa")</f>
        <v>01/2026</v>
      </c>
      <c r="V289">
        <f t="shared" si="8"/>
        <v>49</v>
      </c>
      <c r="W289" s="26" t="str">
        <f t="shared" ca="1" si="9"/>
        <v/>
      </c>
    </row>
    <row r="290" spans="1:23" ht="14.4" customHeight="1">
      <c r="A290" t="s">
        <v>462</v>
      </c>
      <c r="B290" t="s">
        <v>463</v>
      </c>
      <c r="C290" t="s">
        <v>464</v>
      </c>
      <c r="D290" t="s">
        <v>298</v>
      </c>
      <c r="E290" t="s">
        <v>465</v>
      </c>
      <c r="F290" t="s">
        <v>39</v>
      </c>
      <c r="G290" t="s">
        <v>40</v>
      </c>
      <c r="H290">
        <v>4293965.2399999993</v>
      </c>
      <c r="I290" t="s">
        <v>25</v>
      </c>
      <c r="J290">
        <v>2320969.56</v>
      </c>
      <c r="K290" t="s">
        <v>25</v>
      </c>
      <c r="L290" t="s">
        <v>26</v>
      </c>
      <c r="M290" s="20">
        <v>46080</v>
      </c>
      <c r="N290" s="20">
        <v>46042</v>
      </c>
      <c r="O290" t="s">
        <v>149</v>
      </c>
      <c r="P290" t="s">
        <v>1018</v>
      </c>
      <c r="Q290" t="s">
        <v>88</v>
      </c>
      <c r="R290" t="s">
        <v>29</v>
      </c>
      <c r="S290" t="s">
        <v>1015</v>
      </c>
      <c r="T290" t="str">
        <f>IF(OR(F290="Project - Competitive",F290="Project - Not Competitive"),"New Business","Upsell")</f>
        <v>New Business</v>
      </c>
      <c r="U290" t="str">
        <f>TEXT(M290,"mm/aaaa")</f>
        <v>02/2026</v>
      </c>
      <c r="V290">
        <f t="shared" si="8"/>
        <v>38</v>
      </c>
      <c r="W290" s="26" t="str">
        <f t="shared" ca="1" si="9"/>
        <v/>
      </c>
    </row>
    <row r="291" spans="1:23" ht="14.4" customHeight="1">
      <c r="A291" t="s">
        <v>829</v>
      </c>
      <c r="B291" t="s">
        <v>598</v>
      </c>
      <c r="C291" t="s">
        <v>599</v>
      </c>
      <c r="D291" t="s">
        <v>37</v>
      </c>
      <c r="E291" t="s">
        <v>600</v>
      </c>
      <c r="F291" t="s">
        <v>39</v>
      </c>
      <c r="G291" t="s">
        <v>24</v>
      </c>
      <c r="H291">
        <v>171761.3</v>
      </c>
      <c r="I291" t="s">
        <v>25</v>
      </c>
      <c r="J291">
        <v>171761.3</v>
      </c>
      <c r="K291" t="s">
        <v>25</v>
      </c>
      <c r="L291" t="s">
        <v>26</v>
      </c>
      <c r="M291" s="20">
        <v>46138</v>
      </c>
      <c r="N291" s="20">
        <v>46108</v>
      </c>
      <c r="O291" t="s">
        <v>149</v>
      </c>
      <c r="P291" t="s">
        <v>1005</v>
      </c>
      <c r="Q291" t="s">
        <v>446</v>
      </c>
      <c r="R291" t="s">
        <v>198</v>
      </c>
      <c r="S291" t="s">
        <v>1015</v>
      </c>
      <c r="T291" t="str">
        <f>IF(OR(F291="Project - Competitive",F291="Project - Not Competitive"),"New Business","Upsell")</f>
        <v>New Business</v>
      </c>
      <c r="U291" t="str">
        <f>TEXT(M291,"mm/aaaa")</f>
        <v>04/2026</v>
      </c>
      <c r="V291" t="str">
        <f t="shared" si="8"/>
        <v/>
      </c>
      <c r="W291" s="26">
        <f t="shared" ca="1" si="9"/>
        <v>30</v>
      </c>
    </row>
    <row r="292" spans="1:23" ht="14.4" customHeight="1">
      <c r="A292" t="s">
        <v>927</v>
      </c>
      <c r="B292" t="s">
        <v>928</v>
      </c>
      <c r="C292" t="s">
        <v>929</v>
      </c>
      <c r="D292" t="s">
        <v>298</v>
      </c>
      <c r="E292" t="s">
        <v>930</v>
      </c>
      <c r="F292" t="s">
        <v>39</v>
      </c>
      <c r="G292" t="s">
        <v>119</v>
      </c>
      <c r="H292">
        <v>877063.2</v>
      </c>
      <c r="I292" t="s">
        <v>25</v>
      </c>
      <c r="J292">
        <v>416671.2</v>
      </c>
      <c r="K292" t="s">
        <v>25</v>
      </c>
      <c r="L292" t="s">
        <v>26</v>
      </c>
      <c r="M292" s="20">
        <v>46203</v>
      </c>
      <c r="N292" s="20">
        <v>46299</v>
      </c>
      <c r="O292" t="s">
        <v>314</v>
      </c>
      <c r="P292" t="s">
        <v>58</v>
      </c>
      <c r="Q292" t="s">
        <v>165</v>
      </c>
      <c r="R292" t="s">
        <v>29</v>
      </c>
      <c r="S292" t="s">
        <v>1016</v>
      </c>
      <c r="T292" t="str">
        <f>IF(OR(F292="Project - Competitive",F292="Project - Not Competitive"),"New Business","Upsell")</f>
        <v>New Business</v>
      </c>
      <c r="U292" t="str">
        <f>TEXT(M292,"mm/aaaa")</f>
        <v>06/2026</v>
      </c>
      <c r="V292" t="str">
        <f t="shared" si="8"/>
        <v/>
      </c>
      <c r="W292" s="26">
        <f t="shared" ca="1" si="9"/>
        <v>0</v>
      </c>
    </row>
    <row r="293" spans="1:23" ht="14.4" customHeight="1">
      <c r="A293" t="s">
        <v>623</v>
      </c>
      <c r="B293" t="s">
        <v>624</v>
      </c>
      <c r="C293" t="s">
        <v>625</v>
      </c>
      <c r="D293" t="s">
        <v>47</v>
      </c>
      <c r="E293" t="s">
        <v>626</v>
      </c>
      <c r="F293" t="s">
        <v>49</v>
      </c>
      <c r="G293" t="s">
        <v>112</v>
      </c>
      <c r="H293">
        <v>935328</v>
      </c>
      <c r="I293" t="s">
        <v>25</v>
      </c>
      <c r="J293">
        <v>935328</v>
      </c>
      <c r="K293" t="s">
        <v>25</v>
      </c>
      <c r="L293" t="s">
        <v>26</v>
      </c>
      <c r="M293" s="20">
        <v>46160</v>
      </c>
      <c r="N293" s="20">
        <v>46076</v>
      </c>
      <c r="O293" t="s">
        <v>50</v>
      </c>
      <c r="P293" t="s">
        <v>1018</v>
      </c>
      <c r="Q293" t="s">
        <v>136</v>
      </c>
      <c r="R293" t="s">
        <v>29</v>
      </c>
      <c r="S293" t="s">
        <v>1015</v>
      </c>
      <c r="T293" t="str">
        <f>IF(OR(F293="Project - Competitive",F293="Project - Not Competitive"),"New Business","Upsell")</f>
        <v>New Business</v>
      </c>
      <c r="U293" t="str">
        <f>TEXT(M293,"mm/aaaa")</f>
        <v>05/2026</v>
      </c>
      <c r="V293" t="str">
        <f t="shared" si="8"/>
        <v/>
      </c>
      <c r="W293" s="26">
        <f t="shared" ca="1" si="9"/>
        <v>62</v>
      </c>
    </row>
    <row r="294" spans="1:23" ht="14.4" customHeight="1">
      <c r="A294" t="s">
        <v>649</v>
      </c>
      <c r="B294" t="s">
        <v>650</v>
      </c>
      <c r="C294" t="s">
        <v>651</v>
      </c>
      <c r="D294" t="s">
        <v>37</v>
      </c>
      <c r="E294" t="s">
        <v>653</v>
      </c>
      <c r="F294" t="s">
        <v>39</v>
      </c>
      <c r="G294" t="s">
        <v>119</v>
      </c>
      <c r="H294">
        <v>2344909.7999999998</v>
      </c>
      <c r="I294" t="s">
        <v>25</v>
      </c>
      <c r="J294">
        <v>321776.88</v>
      </c>
      <c r="K294" t="s">
        <v>25</v>
      </c>
      <c r="L294" t="s">
        <v>26</v>
      </c>
      <c r="M294" s="20">
        <v>46171</v>
      </c>
      <c r="N294" s="20">
        <v>46080</v>
      </c>
      <c r="O294" t="s">
        <v>135</v>
      </c>
      <c r="P294" t="s">
        <v>58</v>
      </c>
      <c r="Q294" t="s">
        <v>446</v>
      </c>
      <c r="R294" t="s">
        <v>29</v>
      </c>
      <c r="S294" t="s">
        <v>1014</v>
      </c>
      <c r="T294" t="str">
        <f>IF(OR(F294="Project - Competitive",F294="Project - Not Competitive"),"New Business","Upsell")</f>
        <v>New Business</v>
      </c>
      <c r="U294" t="str">
        <f>TEXT(M294,"mm/aaaa")</f>
        <v>05/2026</v>
      </c>
      <c r="V294" t="str">
        <f t="shared" si="8"/>
        <v/>
      </c>
      <c r="W294" s="26">
        <f t="shared" ca="1" si="9"/>
        <v>58</v>
      </c>
    </row>
    <row r="295" spans="1:23" ht="14.4" customHeight="1">
      <c r="A295" t="s">
        <v>725</v>
      </c>
      <c r="B295" t="s">
        <v>726</v>
      </c>
      <c r="C295" t="s">
        <v>727</v>
      </c>
      <c r="D295" t="s">
        <v>203</v>
      </c>
      <c r="E295" t="s">
        <v>729</v>
      </c>
      <c r="F295" t="s">
        <v>39</v>
      </c>
      <c r="G295" t="s">
        <v>119</v>
      </c>
      <c r="H295">
        <v>894521</v>
      </c>
      <c r="I295" t="s">
        <v>25</v>
      </c>
      <c r="J295">
        <v>574768.80000000005</v>
      </c>
      <c r="K295" t="s">
        <v>25</v>
      </c>
      <c r="L295" t="s">
        <v>26</v>
      </c>
      <c r="M295" s="20">
        <v>46117</v>
      </c>
      <c r="N295" s="20">
        <v>46329</v>
      </c>
      <c r="O295" t="s">
        <v>135</v>
      </c>
      <c r="P295" t="s">
        <v>1018</v>
      </c>
      <c r="Q295" t="s">
        <v>409</v>
      </c>
      <c r="R295" t="s">
        <v>29</v>
      </c>
      <c r="S295" t="s">
        <v>1014</v>
      </c>
      <c r="T295" t="str">
        <f>IF(OR(F295="Project - Competitive",F295="Project - Not Competitive"),"New Business","Upsell")</f>
        <v>New Business</v>
      </c>
      <c r="U295" t="str">
        <f>TEXT(M295,"mm/aaaa")</f>
        <v>04/2026</v>
      </c>
      <c r="V295" t="str">
        <f t="shared" si="8"/>
        <v/>
      </c>
      <c r="W295" s="26">
        <f t="shared" ca="1" si="9"/>
        <v>0</v>
      </c>
    </row>
    <row r="296" spans="1:23" ht="14.4" customHeight="1">
      <c r="A296" t="s">
        <v>908</v>
      </c>
      <c r="B296" t="s">
        <v>797</v>
      </c>
      <c r="C296" t="s">
        <v>798</v>
      </c>
      <c r="D296" t="s">
        <v>132</v>
      </c>
      <c r="E296" t="s">
        <v>799</v>
      </c>
      <c r="F296" t="s">
        <v>39</v>
      </c>
      <c r="G296" t="s">
        <v>119</v>
      </c>
      <c r="H296">
        <v>374000</v>
      </c>
      <c r="I296" t="s">
        <v>25</v>
      </c>
      <c r="J296">
        <v>354000</v>
      </c>
      <c r="K296" t="s">
        <v>25</v>
      </c>
      <c r="L296" t="s">
        <v>26</v>
      </c>
      <c r="M296" s="20">
        <v>46239</v>
      </c>
      <c r="N296" s="20">
        <v>46238</v>
      </c>
      <c r="O296" t="s">
        <v>290</v>
      </c>
      <c r="P296" t="s">
        <v>1018</v>
      </c>
      <c r="Q296" t="s">
        <v>165</v>
      </c>
      <c r="R296" t="s">
        <v>29</v>
      </c>
      <c r="S296" t="s">
        <v>1015</v>
      </c>
      <c r="T296" t="str">
        <f>IF(OR(F296="Project - Competitive",F296="Project - Not Competitive"),"New Business","Upsell")</f>
        <v>New Business</v>
      </c>
      <c r="U296" t="str">
        <f>TEXT(M296,"mm/aaaa")</f>
        <v>08/2026</v>
      </c>
      <c r="V296" t="str">
        <f t="shared" si="8"/>
        <v/>
      </c>
      <c r="W296" s="26">
        <f t="shared" ca="1" si="9"/>
        <v>0</v>
      </c>
    </row>
    <row r="297" spans="1:23" ht="14.4" customHeight="1">
      <c r="A297" t="s">
        <v>808</v>
      </c>
      <c r="B297" t="s">
        <v>809</v>
      </c>
      <c r="C297" t="s">
        <v>810</v>
      </c>
      <c r="D297" t="s">
        <v>811</v>
      </c>
      <c r="E297" t="s">
        <v>812</v>
      </c>
      <c r="F297" t="s">
        <v>49</v>
      </c>
      <c r="G297" t="s">
        <v>535</v>
      </c>
      <c r="H297">
        <v>35000</v>
      </c>
      <c r="I297" t="s">
        <v>25</v>
      </c>
      <c r="J297">
        <v>35000</v>
      </c>
      <c r="K297" t="s">
        <v>25</v>
      </c>
      <c r="L297" t="s">
        <v>26</v>
      </c>
      <c r="M297" s="20">
        <v>46173</v>
      </c>
      <c r="N297" s="20">
        <v>46107</v>
      </c>
      <c r="O297" t="s">
        <v>135</v>
      </c>
      <c r="P297" t="s">
        <v>1005</v>
      </c>
      <c r="Q297" t="s">
        <v>73</v>
      </c>
      <c r="R297" t="s">
        <v>185</v>
      </c>
      <c r="S297" t="s">
        <v>1014</v>
      </c>
      <c r="T297" t="str">
        <f>IF(OR(F297="Project - Competitive",F297="Project - Not Competitive"),"New Business","Upsell")</f>
        <v>New Business</v>
      </c>
      <c r="U297" t="str">
        <f>TEXT(M297,"mm/aaaa")</f>
        <v>05/2026</v>
      </c>
      <c r="V297" t="str">
        <f t="shared" si="8"/>
        <v/>
      </c>
      <c r="W297" s="26">
        <f t="shared" ca="1" si="9"/>
        <v>31</v>
      </c>
    </row>
    <row r="298" spans="1:23">
      <c r="A298" t="s">
        <v>618</v>
      </c>
      <c r="B298" t="s">
        <v>619</v>
      </c>
      <c r="C298" t="s">
        <v>620</v>
      </c>
      <c r="D298" t="s">
        <v>298</v>
      </c>
      <c r="E298" t="s">
        <v>621</v>
      </c>
      <c r="F298" t="s">
        <v>39</v>
      </c>
      <c r="G298" t="s">
        <v>66</v>
      </c>
      <c r="H298">
        <v>456000</v>
      </c>
      <c r="I298" t="s">
        <v>25</v>
      </c>
      <c r="J298">
        <v>420000</v>
      </c>
      <c r="K298" t="s">
        <v>25</v>
      </c>
      <c r="L298" t="s">
        <v>26</v>
      </c>
      <c r="M298" s="20">
        <v>46142</v>
      </c>
      <c r="N298" s="20">
        <v>46073</v>
      </c>
      <c r="O298" t="s">
        <v>290</v>
      </c>
      <c r="P298" t="s">
        <v>58</v>
      </c>
      <c r="Q298" t="s">
        <v>472</v>
      </c>
      <c r="R298" t="s">
        <v>29</v>
      </c>
      <c r="S298" t="s">
        <v>1015</v>
      </c>
      <c r="T298" t="str">
        <f>IF(OR(F298="Project - Competitive",F298="Project - Not Competitive"),"New Business","Upsell")</f>
        <v>New Business</v>
      </c>
      <c r="U298" t="str">
        <f>TEXT(M298,"mm/aaaa")</f>
        <v>04/2026</v>
      </c>
      <c r="V298" t="str">
        <f t="shared" si="8"/>
        <v/>
      </c>
      <c r="W298" s="26">
        <f t="shared" ca="1" si="9"/>
        <v>65</v>
      </c>
    </row>
    <row r="299" spans="1:23">
      <c r="A299" t="s">
        <v>975</v>
      </c>
      <c r="B299" t="s">
        <v>976</v>
      </c>
      <c r="C299" t="s">
        <v>977</v>
      </c>
      <c r="D299" t="s">
        <v>203</v>
      </c>
      <c r="E299" t="s">
        <v>978</v>
      </c>
      <c r="F299" t="s">
        <v>39</v>
      </c>
      <c r="G299" t="s">
        <v>112</v>
      </c>
      <c r="H299">
        <v>0</v>
      </c>
      <c r="I299" t="s">
        <v>25</v>
      </c>
      <c r="J299">
        <v>0</v>
      </c>
      <c r="K299" t="s">
        <v>25</v>
      </c>
      <c r="L299" t="s">
        <v>26</v>
      </c>
      <c r="M299" s="20">
        <v>46155</v>
      </c>
      <c r="N299" s="20">
        <v>46125</v>
      </c>
      <c r="O299" t="s">
        <v>50</v>
      </c>
      <c r="P299" t="s">
        <v>1018</v>
      </c>
      <c r="Q299" t="s">
        <v>73</v>
      </c>
      <c r="S299" t="s">
        <v>1015</v>
      </c>
      <c r="T299" t="str">
        <f>IF(OR(F299="Project - Competitive",F299="Project - Not Competitive"),"New Business","Upsell")</f>
        <v>New Business</v>
      </c>
      <c r="U299" t="str">
        <f>TEXT(M299,"mm/aaaa")</f>
        <v>05/2026</v>
      </c>
      <c r="V299" t="str">
        <f t="shared" si="8"/>
        <v/>
      </c>
      <c r="W299" s="26">
        <f t="shared" ca="1" si="9"/>
        <v>13</v>
      </c>
    </row>
    <row r="300" spans="1:23">
      <c r="A300" t="s">
        <v>241</v>
      </c>
      <c r="B300" t="s">
        <v>242</v>
      </c>
      <c r="C300" t="s">
        <v>243</v>
      </c>
      <c r="D300" t="s">
        <v>37</v>
      </c>
      <c r="E300" t="s">
        <v>244</v>
      </c>
      <c r="F300" t="s">
        <v>39</v>
      </c>
      <c r="G300" t="s">
        <v>40</v>
      </c>
      <c r="H300">
        <v>589446.40999999992</v>
      </c>
      <c r="I300" t="s">
        <v>25</v>
      </c>
      <c r="J300">
        <v>548136.6</v>
      </c>
      <c r="K300" t="s">
        <v>25</v>
      </c>
      <c r="L300" t="s">
        <v>26</v>
      </c>
      <c r="M300" s="20">
        <v>46080</v>
      </c>
      <c r="N300" s="20">
        <v>45972</v>
      </c>
      <c r="O300" t="s">
        <v>245</v>
      </c>
      <c r="P300" t="s">
        <v>58</v>
      </c>
      <c r="Q300" t="s">
        <v>88</v>
      </c>
      <c r="R300" t="s">
        <v>29</v>
      </c>
      <c r="S300" t="s">
        <v>1014</v>
      </c>
      <c r="T300" t="str">
        <f>IF(OR(F300="Project - Competitive",F300="Project - Not Competitive"),"New Business","Upsell")</f>
        <v>New Business</v>
      </c>
      <c r="U300" t="str">
        <f>TEXT(M300,"mm/aaaa")</f>
        <v>02/2026</v>
      </c>
      <c r="V300">
        <f t="shared" si="8"/>
        <v>108</v>
      </c>
      <c r="W300" s="26" t="str">
        <f t="shared" ca="1" si="9"/>
        <v/>
      </c>
    </row>
    <row r="301" spans="1:23">
      <c r="A301" t="s">
        <v>310</v>
      </c>
      <c r="B301" t="s">
        <v>311</v>
      </c>
      <c r="C301" t="s">
        <v>312</v>
      </c>
      <c r="D301" t="s">
        <v>117</v>
      </c>
      <c r="E301" t="s">
        <v>313</v>
      </c>
      <c r="F301" t="s">
        <v>82</v>
      </c>
      <c r="G301" t="s">
        <v>40</v>
      </c>
      <c r="H301">
        <v>517703.16</v>
      </c>
      <c r="I301" t="s">
        <v>25</v>
      </c>
      <c r="J301">
        <v>420864.6</v>
      </c>
      <c r="K301" t="s">
        <v>25</v>
      </c>
      <c r="L301" t="s">
        <v>26</v>
      </c>
      <c r="M301" s="20">
        <v>46104</v>
      </c>
      <c r="N301" s="20">
        <v>45988</v>
      </c>
      <c r="O301" t="s">
        <v>314</v>
      </c>
      <c r="P301" t="s">
        <v>58</v>
      </c>
      <c r="Q301" t="s">
        <v>315</v>
      </c>
      <c r="R301" t="s">
        <v>29</v>
      </c>
      <c r="S301" t="s">
        <v>1016</v>
      </c>
      <c r="T301" t="str">
        <f>IF(OR(F301="Project - Competitive",F301="Project - Not Competitive"),"New Business","Upsell")</f>
        <v>Upsell</v>
      </c>
      <c r="U301" t="str">
        <f>TEXT(M301,"mm/aaaa")</f>
        <v>03/2026</v>
      </c>
      <c r="V301">
        <f t="shared" si="8"/>
        <v>116</v>
      </c>
      <c r="W301" s="26" t="str">
        <f t="shared" ca="1" si="9"/>
        <v/>
      </c>
    </row>
    <row r="302" spans="1:23">
      <c r="A302" t="s">
        <v>485</v>
      </c>
      <c r="B302" t="s">
        <v>311</v>
      </c>
      <c r="C302" t="s">
        <v>312</v>
      </c>
      <c r="D302" t="s">
        <v>117</v>
      </c>
      <c r="E302" t="s">
        <v>313</v>
      </c>
      <c r="F302" t="s">
        <v>23</v>
      </c>
      <c r="G302" t="s">
        <v>40</v>
      </c>
      <c r="H302">
        <v>164120.28</v>
      </c>
      <c r="I302" t="s">
        <v>25</v>
      </c>
      <c r="J302">
        <v>164120.28</v>
      </c>
      <c r="K302" t="s">
        <v>25</v>
      </c>
      <c r="L302" t="s">
        <v>26</v>
      </c>
      <c r="M302" s="20">
        <v>46298</v>
      </c>
      <c r="N302" s="20">
        <v>46045</v>
      </c>
      <c r="O302" t="s">
        <v>27</v>
      </c>
      <c r="P302" t="s">
        <v>58</v>
      </c>
      <c r="Q302" t="s">
        <v>394</v>
      </c>
      <c r="R302" t="s">
        <v>29</v>
      </c>
      <c r="S302" t="s">
        <v>1012</v>
      </c>
      <c r="T302" t="str">
        <f>IF(OR(F302="Project - Competitive",F302="Project - Not Competitive"),"New Business","Upsell")</f>
        <v>Upsell</v>
      </c>
      <c r="U302" t="str">
        <f>TEXT(M302,"mm/aaaa")</f>
        <v>10/2026</v>
      </c>
      <c r="V302">
        <f t="shared" si="8"/>
        <v>253</v>
      </c>
      <c r="W302" s="26" t="str">
        <f t="shared" ca="1" si="9"/>
        <v/>
      </c>
    </row>
    <row r="303" spans="1:23">
      <c r="A303" t="s">
        <v>395</v>
      </c>
      <c r="B303" t="s">
        <v>311</v>
      </c>
      <c r="C303" t="s">
        <v>312</v>
      </c>
      <c r="D303" t="s">
        <v>117</v>
      </c>
      <c r="E303" t="s">
        <v>316</v>
      </c>
      <c r="F303" t="s">
        <v>23</v>
      </c>
      <c r="G303" t="s">
        <v>40</v>
      </c>
      <c r="H303">
        <v>76299</v>
      </c>
      <c r="I303" t="s">
        <v>25</v>
      </c>
      <c r="J303">
        <v>76299</v>
      </c>
      <c r="K303" t="s">
        <v>25</v>
      </c>
      <c r="L303" t="s">
        <v>26</v>
      </c>
      <c r="M303" s="20">
        <v>46104</v>
      </c>
      <c r="N303" s="20">
        <v>46009</v>
      </c>
      <c r="O303" t="s">
        <v>27</v>
      </c>
      <c r="P303" t="s">
        <v>58</v>
      </c>
      <c r="Q303" t="s">
        <v>315</v>
      </c>
      <c r="R303" t="s">
        <v>29</v>
      </c>
      <c r="S303" t="s">
        <v>1012</v>
      </c>
      <c r="T303" t="str">
        <f>IF(OR(F303="Project - Competitive",F303="Project - Not Competitive"),"New Business","Upsell")</f>
        <v>Upsell</v>
      </c>
      <c r="U303" t="str">
        <f>TEXT(M303,"mm/aaaa")</f>
        <v>03/2026</v>
      </c>
      <c r="V303">
        <f t="shared" si="8"/>
        <v>95</v>
      </c>
      <c r="W303" s="26" t="str">
        <f t="shared" ca="1" si="9"/>
        <v/>
      </c>
    </row>
    <row r="304" spans="1:23">
      <c r="A304" t="s">
        <v>785</v>
      </c>
      <c r="B304" t="s">
        <v>311</v>
      </c>
      <c r="C304" t="s">
        <v>312</v>
      </c>
      <c r="D304" t="s">
        <v>117</v>
      </c>
      <c r="E304" t="s">
        <v>316</v>
      </c>
      <c r="F304" t="s">
        <v>82</v>
      </c>
      <c r="G304" t="s">
        <v>40</v>
      </c>
      <c r="H304">
        <v>486654.96</v>
      </c>
      <c r="I304" t="s">
        <v>25</v>
      </c>
      <c r="J304">
        <v>389804.64</v>
      </c>
      <c r="K304" t="s">
        <v>25</v>
      </c>
      <c r="L304" t="s">
        <v>26</v>
      </c>
      <c r="M304" s="20">
        <v>46101</v>
      </c>
      <c r="N304" s="20">
        <v>46101</v>
      </c>
      <c r="O304" t="s">
        <v>27</v>
      </c>
      <c r="P304" t="s">
        <v>58</v>
      </c>
      <c r="Q304" t="s">
        <v>409</v>
      </c>
      <c r="R304" t="s">
        <v>29</v>
      </c>
      <c r="S304" t="s">
        <v>1012</v>
      </c>
      <c r="T304" t="str">
        <f>IF(OR(F304="Project - Competitive",F304="Project - Not Competitive"),"New Business","Upsell")</f>
        <v>Upsell</v>
      </c>
      <c r="U304" t="str">
        <f>TEXT(M304,"mm/aaaa")</f>
        <v>03/2026</v>
      </c>
      <c r="V304" t="str">
        <f t="shared" si="8"/>
        <v/>
      </c>
      <c r="W304" s="26" t="str">
        <f t="shared" ca="1" si="9"/>
        <v/>
      </c>
    </row>
    <row r="305" spans="1:23">
      <c r="A305" t="s">
        <v>452</v>
      </c>
      <c r="B305" t="s">
        <v>453</v>
      </c>
      <c r="C305" t="s">
        <v>454</v>
      </c>
      <c r="D305" t="s">
        <v>47</v>
      </c>
      <c r="E305" t="s">
        <v>455</v>
      </c>
      <c r="F305" t="s">
        <v>49</v>
      </c>
      <c r="G305" t="s">
        <v>24</v>
      </c>
      <c r="H305">
        <v>1410000</v>
      </c>
      <c r="I305" t="s">
        <v>25</v>
      </c>
      <c r="J305">
        <v>934800</v>
      </c>
      <c r="K305" t="s">
        <v>25</v>
      </c>
      <c r="L305" t="s">
        <v>26</v>
      </c>
      <c r="M305" s="20">
        <v>46125</v>
      </c>
      <c r="N305" s="20">
        <v>46038</v>
      </c>
      <c r="O305" t="s">
        <v>135</v>
      </c>
      <c r="P305" t="s">
        <v>58</v>
      </c>
      <c r="Q305" t="s">
        <v>356</v>
      </c>
      <c r="R305" t="s">
        <v>29</v>
      </c>
      <c r="S305" t="s">
        <v>1014</v>
      </c>
      <c r="T305" t="str">
        <f>IF(OR(F305="Project - Competitive",F305="Project - Not Competitive"),"New Business","Upsell")</f>
        <v>New Business</v>
      </c>
      <c r="U305" t="str">
        <f>TEXT(M305,"mm/aaaa")</f>
        <v>04/2026</v>
      </c>
      <c r="V305" t="str">
        <f t="shared" si="8"/>
        <v/>
      </c>
      <c r="W305" s="26">
        <f t="shared" ca="1" si="9"/>
        <v>100</v>
      </c>
    </row>
    <row r="306" spans="1:23">
      <c r="A306" t="s">
        <v>740</v>
      </c>
      <c r="B306" t="s">
        <v>741</v>
      </c>
      <c r="C306" t="s">
        <v>742</v>
      </c>
      <c r="D306" t="s">
        <v>126</v>
      </c>
      <c r="E306" t="s">
        <v>743</v>
      </c>
      <c r="F306" t="s">
        <v>23</v>
      </c>
      <c r="G306" t="s">
        <v>66</v>
      </c>
      <c r="H306">
        <v>585915.63</v>
      </c>
      <c r="I306" t="s">
        <v>25</v>
      </c>
      <c r="J306">
        <v>466392.76</v>
      </c>
      <c r="K306" t="s">
        <v>25</v>
      </c>
      <c r="L306" t="s">
        <v>26</v>
      </c>
      <c r="M306" s="20">
        <v>46173</v>
      </c>
      <c r="N306" s="20">
        <v>46329</v>
      </c>
      <c r="O306" t="s">
        <v>355</v>
      </c>
      <c r="P306" t="s">
        <v>58</v>
      </c>
      <c r="Q306" t="s">
        <v>446</v>
      </c>
      <c r="R306" t="s">
        <v>29</v>
      </c>
      <c r="S306" t="s">
        <v>1016</v>
      </c>
      <c r="T306" t="str">
        <f>IF(OR(F306="Project - Competitive",F306="Project - Not Competitive"),"New Business","Upsell")</f>
        <v>Upsell</v>
      </c>
      <c r="U306" t="str">
        <f>TEXT(M306,"mm/aaaa")</f>
        <v>05/2026</v>
      </c>
      <c r="V306" t="str">
        <f t="shared" si="8"/>
        <v/>
      </c>
      <c r="W306" s="26">
        <f t="shared" ca="1" si="9"/>
        <v>0</v>
      </c>
    </row>
    <row r="307" spans="1:23">
      <c r="A307" t="s">
        <v>259</v>
      </c>
      <c r="B307" t="s">
        <v>260</v>
      </c>
      <c r="C307" t="s">
        <v>261</v>
      </c>
      <c r="D307" t="s">
        <v>95</v>
      </c>
      <c r="E307" t="s">
        <v>262</v>
      </c>
      <c r="F307" t="s">
        <v>82</v>
      </c>
      <c r="G307" t="s">
        <v>40</v>
      </c>
      <c r="H307">
        <v>429774</v>
      </c>
      <c r="I307" t="s">
        <v>25</v>
      </c>
      <c r="J307">
        <v>429774</v>
      </c>
      <c r="K307" t="s">
        <v>25</v>
      </c>
      <c r="L307" t="s">
        <v>26</v>
      </c>
      <c r="M307" s="20">
        <v>46037</v>
      </c>
      <c r="N307" s="20">
        <v>45975</v>
      </c>
      <c r="O307" t="s">
        <v>27</v>
      </c>
      <c r="P307" t="s">
        <v>58</v>
      </c>
      <c r="Q307" t="s">
        <v>263</v>
      </c>
      <c r="R307" t="s">
        <v>122</v>
      </c>
      <c r="S307" t="s">
        <v>1012</v>
      </c>
      <c r="T307" t="str">
        <f>IF(OR(F307="Project - Competitive",F307="Project - Not Competitive"),"New Business","Upsell")</f>
        <v>Upsell</v>
      </c>
      <c r="U307" t="str">
        <f>TEXT(M307,"mm/aaaa")</f>
        <v>01/2026</v>
      </c>
      <c r="V307">
        <f t="shared" si="8"/>
        <v>62</v>
      </c>
      <c r="W307" s="26" t="str">
        <f t="shared" ca="1" si="9"/>
        <v/>
      </c>
    </row>
    <row r="308" spans="1:23">
      <c r="A308" t="s">
        <v>940</v>
      </c>
      <c r="B308" t="s">
        <v>260</v>
      </c>
      <c r="C308" t="s">
        <v>261</v>
      </c>
      <c r="D308" t="s">
        <v>95</v>
      </c>
      <c r="E308" t="s">
        <v>941</v>
      </c>
      <c r="F308" t="s">
        <v>82</v>
      </c>
      <c r="G308" t="s">
        <v>535</v>
      </c>
      <c r="H308">
        <v>406131.72</v>
      </c>
      <c r="I308" t="s">
        <v>25</v>
      </c>
      <c r="J308">
        <v>406131.72</v>
      </c>
      <c r="K308" t="s">
        <v>25</v>
      </c>
      <c r="L308" t="s">
        <v>26</v>
      </c>
      <c r="M308" s="20">
        <v>46234</v>
      </c>
      <c r="N308" s="20">
        <v>46299</v>
      </c>
      <c r="O308" t="s">
        <v>872</v>
      </c>
      <c r="P308" t="s">
        <v>58</v>
      </c>
      <c r="Q308" t="s">
        <v>165</v>
      </c>
      <c r="R308" t="s">
        <v>122</v>
      </c>
      <c r="S308" t="s">
        <v>1012</v>
      </c>
      <c r="T308" t="str">
        <f>IF(OR(F308="Project - Competitive",F308="Project - Not Competitive"),"New Business","Upsell")</f>
        <v>Upsell</v>
      </c>
      <c r="U308" t="str">
        <f>TEXT(M308,"mm/aaaa")</f>
        <v>07/2026</v>
      </c>
      <c r="V308" t="str">
        <f t="shared" si="8"/>
        <v/>
      </c>
      <c r="W308" s="26">
        <f t="shared" ca="1" si="9"/>
        <v>0</v>
      </c>
    </row>
    <row r="309" spans="1:23">
      <c r="A309" t="s">
        <v>815</v>
      </c>
      <c r="B309" t="s">
        <v>816</v>
      </c>
      <c r="C309" t="s">
        <v>817</v>
      </c>
      <c r="D309" t="s">
        <v>126</v>
      </c>
      <c r="E309" t="s">
        <v>818</v>
      </c>
      <c r="F309" t="s">
        <v>23</v>
      </c>
      <c r="G309" t="s">
        <v>119</v>
      </c>
      <c r="H309">
        <v>91615.13</v>
      </c>
      <c r="I309" t="s">
        <v>25</v>
      </c>
      <c r="J309">
        <v>91615.13</v>
      </c>
      <c r="K309" t="s">
        <v>25</v>
      </c>
      <c r="L309" t="s">
        <v>26</v>
      </c>
      <c r="M309" s="20">
        <v>46203</v>
      </c>
      <c r="N309" s="20">
        <v>46107</v>
      </c>
      <c r="O309" t="s">
        <v>314</v>
      </c>
      <c r="P309" t="s">
        <v>58</v>
      </c>
      <c r="Q309" t="s">
        <v>819</v>
      </c>
      <c r="R309" t="s">
        <v>29</v>
      </c>
      <c r="S309" t="s">
        <v>1016</v>
      </c>
      <c r="T309" t="str">
        <f>IF(OR(F309="Project - Competitive",F309="Project - Not Competitive"),"New Business","Upsell")</f>
        <v>Upsell</v>
      </c>
      <c r="U309" t="str">
        <f>TEXT(M309,"mm/aaaa")</f>
        <v>06/2026</v>
      </c>
      <c r="V309" t="str">
        <f t="shared" si="8"/>
        <v/>
      </c>
      <c r="W309" s="26">
        <f t="shared" ca="1" si="9"/>
        <v>31</v>
      </c>
    </row>
    <row r="310" spans="1:23">
      <c r="A310" t="s">
        <v>439</v>
      </c>
      <c r="B310" t="s">
        <v>440</v>
      </c>
      <c r="C310" t="s">
        <v>441</v>
      </c>
      <c r="D310" t="s">
        <v>47</v>
      </c>
      <c r="E310" t="s">
        <v>442</v>
      </c>
      <c r="F310" t="s">
        <v>39</v>
      </c>
      <c r="G310" t="s">
        <v>119</v>
      </c>
      <c r="H310">
        <v>391800</v>
      </c>
      <c r="I310" t="s">
        <v>25</v>
      </c>
      <c r="J310">
        <v>391800</v>
      </c>
      <c r="K310" t="s">
        <v>25</v>
      </c>
      <c r="L310" t="s">
        <v>26</v>
      </c>
      <c r="M310" s="20">
        <v>46028</v>
      </c>
      <c r="N310" s="20">
        <v>46035</v>
      </c>
      <c r="O310" t="s">
        <v>50</v>
      </c>
      <c r="P310" t="s">
        <v>58</v>
      </c>
      <c r="Q310" t="s">
        <v>97</v>
      </c>
      <c r="R310" t="s">
        <v>29</v>
      </c>
      <c r="S310" t="s">
        <v>1015</v>
      </c>
      <c r="T310" t="str">
        <f>IF(OR(F310="Project - Competitive",F310="Project - Not Competitive"),"New Business","Upsell")</f>
        <v>New Business</v>
      </c>
      <c r="U310" t="str">
        <f>TEXT(M310,"mm/aaaa")</f>
        <v>01/2026</v>
      </c>
      <c r="V310" t="str">
        <f t="shared" si="8"/>
        <v/>
      </c>
      <c r="W310" s="26">
        <f t="shared" ca="1" si="9"/>
        <v>103</v>
      </c>
    </row>
    <row r="311" spans="1:23">
      <c r="A311" t="s">
        <v>230</v>
      </c>
      <c r="B311" t="s">
        <v>231</v>
      </c>
      <c r="C311" t="s">
        <v>232</v>
      </c>
      <c r="D311" t="s">
        <v>102</v>
      </c>
      <c r="E311" t="s">
        <v>235</v>
      </c>
      <c r="F311" t="s">
        <v>82</v>
      </c>
      <c r="G311" t="s">
        <v>40</v>
      </c>
      <c r="H311">
        <v>1038355.7999999999</v>
      </c>
      <c r="I311" t="s">
        <v>25</v>
      </c>
      <c r="J311">
        <v>600429.6</v>
      </c>
      <c r="K311" t="s">
        <v>25</v>
      </c>
      <c r="L311" t="s">
        <v>26</v>
      </c>
      <c r="M311" s="20">
        <v>46036</v>
      </c>
      <c r="N311" s="20">
        <v>45819</v>
      </c>
      <c r="O311" t="s">
        <v>27</v>
      </c>
      <c r="P311" t="s">
        <v>1018</v>
      </c>
      <c r="Q311" t="s">
        <v>59</v>
      </c>
      <c r="R311" t="s">
        <v>29</v>
      </c>
      <c r="S311" t="s">
        <v>1012</v>
      </c>
      <c r="T311" t="str">
        <f>IF(OR(F311="Project - Competitive",F311="Project - Not Competitive"),"New Business","Upsell")</f>
        <v>Upsell</v>
      </c>
      <c r="U311" t="str">
        <f>TEXT(M311,"mm/aaaa")</f>
        <v>01/2026</v>
      </c>
      <c r="V311">
        <f t="shared" si="8"/>
        <v>217</v>
      </c>
      <c r="W311" s="26" t="str">
        <f t="shared" ca="1" si="9"/>
        <v/>
      </c>
    </row>
    <row r="312" spans="1:23" ht="14.4" customHeight="1">
      <c r="A312" t="s">
        <v>396</v>
      </c>
      <c r="B312" t="s">
        <v>231</v>
      </c>
      <c r="C312" t="s">
        <v>232</v>
      </c>
      <c r="D312" t="s">
        <v>102</v>
      </c>
      <c r="E312" t="s">
        <v>234</v>
      </c>
      <c r="F312" t="s">
        <v>23</v>
      </c>
      <c r="G312" t="s">
        <v>40</v>
      </c>
      <c r="H312">
        <v>228000</v>
      </c>
      <c r="I312" t="s">
        <v>25</v>
      </c>
      <c r="J312">
        <v>228000</v>
      </c>
      <c r="K312" t="s">
        <v>25</v>
      </c>
      <c r="L312" t="s">
        <v>26</v>
      </c>
      <c r="M312" s="20">
        <v>46143</v>
      </c>
      <c r="N312" s="20">
        <v>46009</v>
      </c>
      <c r="O312" t="s">
        <v>27</v>
      </c>
      <c r="P312" t="s">
        <v>1018</v>
      </c>
      <c r="Q312" t="s">
        <v>141</v>
      </c>
      <c r="R312" t="s">
        <v>122</v>
      </c>
      <c r="S312" t="s">
        <v>1012</v>
      </c>
      <c r="T312" t="str">
        <f>IF(OR(F312="Project - Competitive",F312="Project - Not Competitive"),"New Business","Upsell")</f>
        <v>Upsell</v>
      </c>
      <c r="U312" t="str">
        <f>TEXT(M312,"mm/aaaa")</f>
        <v>05/2026</v>
      </c>
      <c r="V312">
        <f t="shared" si="8"/>
        <v>134</v>
      </c>
      <c r="W312" s="26" t="str">
        <f t="shared" ca="1" si="9"/>
        <v/>
      </c>
    </row>
    <row r="313" spans="1:23" ht="14.4" customHeight="1">
      <c r="A313" t="s">
        <v>369</v>
      </c>
      <c r="B313" t="s">
        <v>217</v>
      </c>
      <c r="C313" t="s">
        <v>218</v>
      </c>
      <c r="D313" t="s">
        <v>55</v>
      </c>
      <c r="E313" t="s">
        <v>219</v>
      </c>
      <c r="F313" t="s">
        <v>82</v>
      </c>
      <c r="G313" t="s">
        <v>40</v>
      </c>
      <c r="H313">
        <v>1546078.56</v>
      </c>
      <c r="I313" t="s">
        <v>25</v>
      </c>
      <c r="J313">
        <v>133226.4</v>
      </c>
      <c r="K313" t="s">
        <v>25</v>
      </c>
      <c r="L313" t="s">
        <v>26</v>
      </c>
      <c r="M313" s="20">
        <v>46359</v>
      </c>
      <c r="N313" s="20">
        <v>45881</v>
      </c>
      <c r="O313" t="s">
        <v>27</v>
      </c>
      <c r="P313" t="s">
        <v>1018</v>
      </c>
      <c r="Q313" t="s">
        <v>164</v>
      </c>
      <c r="R313" t="s">
        <v>29</v>
      </c>
      <c r="S313" t="s">
        <v>1012</v>
      </c>
      <c r="T313" t="str">
        <f>IF(OR(F313="Project - Competitive",F313="Project - Not Competitive"),"New Business","Upsell")</f>
        <v>Upsell</v>
      </c>
      <c r="U313" t="str">
        <f>TEXT(M313,"mm/aaaa")</f>
        <v>12/2026</v>
      </c>
      <c r="V313">
        <f t="shared" si="8"/>
        <v>478</v>
      </c>
      <c r="W313" s="26" t="str">
        <f t="shared" ca="1" si="9"/>
        <v/>
      </c>
    </row>
    <row r="314" spans="1:23">
      <c r="A314" t="s">
        <v>276</v>
      </c>
      <c r="B314" t="s">
        <v>217</v>
      </c>
      <c r="C314" t="s">
        <v>218</v>
      </c>
      <c r="D314" t="s">
        <v>55</v>
      </c>
      <c r="E314" t="s">
        <v>371</v>
      </c>
      <c r="F314" t="s">
        <v>23</v>
      </c>
      <c r="G314" t="s">
        <v>40</v>
      </c>
      <c r="H314">
        <v>604944.24</v>
      </c>
      <c r="I314" t="s">
        <v>25</v>
      </c>
      <c r="J314">
        <v>117445.56</v>
      </c>
      <c r="K314" t="s">
        <v>25</v>
      </c>
      <c r="L314" t="s">
        <v>26</v>
      </c>
      <c r="M314" s="20">
        <v>46078</v>
      </c>
      <c r="N314" s="20">
        <v>45978</v>
      </c>
      <c r="O314" t="s">
        <v>27</v>
      </c>
      <c r="P314" t="s">
        <v>1018</v>
      </c>
      <c r="Q314" t="s">
        <v>278</v>
      </c>
      <c r="R314" t="s">
        <v>29</v>
      </c>
      <c r="S314" t="s">
        <v>1012</v>
      </c>
      <c r="T314" t="str">
        <f>IF(OR(F314="Project - Competitive",F314="Project - Not Competitive"),"New Business","Upsell")</f>
        <v>Upsell</v>
      </c>
      <c r="U314" t="str">
        <f>TEXT(M314,"mm/aaaa")</f>
        <v>02/2026</v>
      </c>
      <c r="V314">
        <f t="shared" si="8"/>
        <v>100</v>
      </c>
      <c r="W314" s="26" t="str">
        <f t="shared" ca="1" si="9"/>
        <v/>
      </c>
    </row>
    <row r="315" spans="1:23">
      <c r="A315" t="s">
        <v>770</v>
      </c>
      <c r="B315" t="s">
        <v>217</v>
      </c>
      <c r="C315" t="s">
        <v>218</v>
      </c>
      <c r="D315" t="s">
        <v>55</v>
      </c>
      <c r="E315" t="s">
        <v>855</v>
      </c>
      <c r="F315" t="s">
        <v>23</v>
      </c>
      <c r="G315" t="s">
        <v>24</v>
      </c>
      <c r="H315">
        <v>3000</v>
      </c>
      <c r="I315" t="s">
        <v>25</v>
      </c>
      <c r="J315">
        <v>3000</v>
      </c>
      <c r="K315" t="s">
        <v>25</v>
      </c>
      <c r="L315" t="s">
        <v>26</v>
      </c>
      <c r="M315" s="20">
        <v>46129</v>
      </c>
      <c r="N315" s="20">
        <v>46099</v>
      </c>
      <c r="O315" t="s">
        <v>27</v>
      </c>
      <c r="P315" t="s">
        <v>1018</v>
      </c>
      <c r="Q315" t="s">
        <v>83</v>
      </c>
      <c r="R315" t="s">
        <v>73</v>
      </c>
      <c r="S315" t="s">
        <v>1012</v>
      </c>
      <c r="T315" t="str">
        <f>IF(OR(F315="Project - Competitive",F315="Project - Not Competitive"),"New Business","Upsell")</f>
        <v>Upsell</v>
      </c>
      <c r="U315" t="str">
        <f>TEXT(M315,"mm/aaaa")</f>
        <v>04/2026</v>
      </c>
      <c r="V315" t="str">
        <f t="shared" si="8"/>
        <v/>
      </c>
      <c r="W315" s="26">
        <f t="shared" ca="1" si="9"/>
        <v>39</v>
      </c>
    </row>
    <row r="316" spans="1:23">
      <c r="A316" t="s">
        <v>351</v>
      </c>
      <c r="B316" t="s">
        <v>352</v>
      </c>
      <c r="C316" t="s">
        <v>353</v>
      </c>
      <c r="D316" t="s">
        <v>47</v>
      </c>
      <c r="E316" t="s">
        <v>354</v>
      </c>
      <c r="F316" t="s">
        <v>39</v>
      </c>
      <c r="G316" t="s">
        <v>24</v>
      </c>
      <c r="H316">
        <v>993642.36</v>
      </c>
      <c r="I316" t="s">
        <v>25</v>
      </c>
      <c r="J316">
        <v>593490.36</v>
      </c>
      <c r="K316" t="s">
        <v>25</v>
      </c>
      <c r="L316" t="s">
        <v>26</v>
      </c>
      <c r="M316" s="20">
        <v>46299</v>
      </c>
      <c r="N316" s="20">
        <v>45728</v>
      </c>
      <c r="O316" t="s">
        <v>355</v>
      </c>
      <c r="P316" t="s">
        <v>58</v>
      </c>
      <c r="Q316" t="s">
        <v>356</v>
      </c>
      <c r="R316" t="s">
        <v>29</v>
      </c>
      <c r="S316" t="s">
        <v>1016</v>
      </c>
      <c r="T316" t="str">
        <f>IF(OR(F316="Project - Competitive",F316="Project - Not Competitive"),"New Business","Upsell")</f>
        <v>New Business</v>
      </c>
      <c r="U316" t="str">
        <f>TEXT(M316,"mm/aaaa")</f>
        <v>10/2026</v>
      </c>
      <c r="V316" t="str">
        <f t="shared" si="8"/>
        <v/>
      </c>
      <c r="W316" s="26">
        <f t="shared" ca="1" si="9"/>
        <v>410</v>
      </c>
    </row>
    <row r="317" spans="1:23">
      <c r="A317" t="s">
        <v>687</v>
      </c>
      <c r="B317" t="s">
        <v>688</v>
      </c>
      <c r="C317" t="s">
        <v>689</v>
      </c>
      <c r="D317" t="s">
        <v>328</v>
      </c>
      <c r="E317" t="s">
        <v>690</v>
      </c>
      <c r="F317" t="s">
        <v>82</v>
      </c>
      <c r="G317" t="s">
        <v>330</v>
      </c>
      <c r="H317">
        <v>809225.34</v>
      </c>
      <c r="I317" t="s">
        <v>25</v>
      </c>
      <c r="J317">
        <v>335907.9</v>
      </c>
      <c r="K317" t="s">
        <v>25</v>
      </c>
      <c r="L317" t="s">
        <v>26</v>
      </c>
      <c r="M317" s="20">
        <v>46173</v>
      </c>
      <c r="N317" s="20">
        <v>46176</v>
      </c>
      <c r="O317" t="s">
        <v>27</v>
      </c>
      <c r="P317" t="s">
        <v>1018</v>
      </c>
      <c r="Q317" t="s">
        <v>691</v>
      </c>
      <c r="R317" t="s">
        <v>122</v>
      </c>
      <c r="S317" t="s">
        <v>1012</v>
      </c>
      <c r="T317" t="str">
        <f>IF(OR(F317="Project - Competitive",F317="Project - Not Competitive"),"New Business","Upsell")</f>
        <v>Upsell</v>
      </c>
      <c r="U317" t="str">
        <f>TEXT(M317,"mm/aaaa")</f>
        <v>05/2026</v>
      </c>
      <c r="V317" t="str">
        <f t="shared" si="8"/>
        <v/>
      </c>
      <c r="W317" s="26">
        <f t="shared" ca="1" si="9"/>
        <v>0</v>
      </c>
    </row>
    <row r="318" spans="1:23">
      <c r="A318" t="s">
        <v>687</v>
      </c>
      <c r="B318" t="s">
        <v>688</v>
      </c>
      <c r="C318" t="s">
        <v>689</v>
      </c>
      <c r="D318" t="s">
        <v>328</v>
      </c>
      <c r="E318" t="s">
        <v>690</v>
      </c>
      <c r="F318" t="s">
        <v>82</v>
      </c>
      <c r="G318" t="s">
        <v>330</v>
      </c>
      <c r="H318">
        <v>809225.34</v>
      </c>
      <c r="I318" t="s">
        <v>25</v>
      </c>
      <c r="J318">
        <v>31595.88</v>
      </c>
      <c r="K318" t="s">
        <v>25</v>
      </c>
      <c r="L318" t="s">
        <v>26</v>
      </c>
      <c r="M318" s="20">
        <v>46173</v>
      </c>
      <c r="N318" s="20">
        <v>46176</v>
      </c>
      <c r="O318" t="s">
        <v>27</v>
      </c>
      <c r="P318" t="s">
        <v>1018</v>
      </c>
      <c r="Q318" t="s">
        <v>691</v>
      </c>
      <c r="R318" t="s">
        <v>122</v>
      </c>
      <c r="S318" t="s">
        <v>1012</v>
      </c>
      <c r="T318" t="str">
        <f>IF(OR(F318="Project - Competitive",F318="Project - Not Competitive"),"New Business","Upsell")</f>
        <v>Upsell</v>
      </c>
      <c r="U318" t="str">
        <f>TEXT(M318,"mm/aaaa")</f>
        <v>05/2026</v>
      </c>
      <c r="V318" t="str">
        <f t="shared" si="8"/>
        <v/>
      </c>
      <c r="W318" s="26">
        <f t="shared" ca="1" si="9"/>
        <v>0</v>
      </c>
    </row>
    <row r="319" spans="1:23">
      <c r="A319" t="s">
        <v>695</v>
      </c>
      <c r="B319" t="s">
        <v>696</v>
      </c>
      <c r="C319" t="s">
        <v>697</v>
      </c>
      <c r="D319" t="s">
        <v>328</v>
      </c>
      <c r="E319" t="s">
        <v>698</v>
      </c>
      <c r="F319" t="s">
        <v>82</v>
      </c>
      <c r="G319" t="s">
        <v>119</v>
      </c>
      <c r="H319">
        <v>120000</v>
      </c>
      <c r="I319" t="s">
        <v>25</v>
      </c>
      <c r="J319">
        <v>120000</v>
      </c>
      <c r="K319" t="s">
        <v>25</v>
      </c>
      <c r="L319" t="s">
        <v>26</v>
      </c>
      <c r="M319" s="20">
        <v>46173</v>
      </c>
      <c r="N319" s="20">
        <v>46176</v>
      </c>
      <c r="O319" t="s">
        <v>27</v>
      </c>
      <c r="P319" t="s">
        <v>1005</v>
      </c>
      <c r="Q319" t="s">
        <v>526</v>
      </c>
      <c r="R319" t="s">
        <v>29</v>
      </c>
      <c r="S319" t="s">
        <v>1012</v>
      </c>
      <c r="T319" t="str">
        <f>IF(OR(F319="Project - Competitive",F319="Project - Not Competitive"),"New Business","Upsell")</f>
        <v>Upsell</v>
      </c>
      <c r="U319" t="str">
        <f>TEXT(M319,"mm/aaaa")</f>
        <v>05/2026</v>
      </c>
      <c r="V319" t="str">
        <f t="shared" si="8"/>
        <v/>
      </c>
      <c r="W319" s="26">
        <f t="shared" ca="1" si="9"/>
        <v>0</v>
      </c>
    </row>
    <row r="320" spans="1:23">
      <c r="A320" t="s">
        <v>958</v>
      </c>
      <c r="B320" t="s">
        <v>959</v>
      </c>
      <c r="C320" t="s">
        <v>960</v>
      </c>
      <c r="D320" t="s">
        <v>175</v>
      </c>
      <c r="E320" t="s">
        <v>961</v>
      </c>
      <c r="F320" t="s">
        <v>82</v>
      </c>
      <c r="G320" t="s">
        <v>535</v>
      </c>
      <c r="H320">
        <v>645960</v>
      </c>
      <c r="I320" t="s">
        <v>25</v>
      </c>
      <c r="J320">
        <v>645960</v>
      </c>
      <c r="K320" t="s">
        <v>25</v>
      </c>
      <c r="L320" t="s">
        <v>26</v>
      </c>
      <c r="M320" s="20">
        <v>46234</v>
      </c>
      <c r="N320" s="20">
        <v>46299</v>
      </c>
      <c r="O320" t="s">
        <v>314</v>
      </c>
      <c r="P320" t="s">
        <v>58</v>
      </c>
      <c r="Q320" t="s">
        <v>165</v>
      </c>
      <c r="R320" t="s">
        <v>29</v>
      </c>
      <c r="S320" t="s">
        <v>1016</v>
      </c>
      <c r="T320" t="str">
        <f>IF(OR(F320="Project - Competitive",F320="Project - Not Competitive"),"New Business","Upsell")</f>
        <v>Upsell</v>
      </c>
      <c r="U320" t="str">
        <f>TEXT(M320,"mm/aaaa")</f>
        <v>07/2026</v>
      </c>
      <c r="V320" t="str">
        <f t="shared" si="8"/>
        <v/>
      </c>
      <c r="W320" s="26">
        <f t="shared" ca="1" si="9"/>
        <v>0</v>
      </c>
    </row>
    <row r="321" spans="1:23">
      <c r="A321" t="s">
        <v>300</v>
      </c>
      <c r="B321" t="s">
        <v>301</v>
      </c>
      <c r="C321" t="s">
        <v>1064</v>
      </c>
      <c r="D321" t="s">
        <v>203</v>
      </c>
      <c r="E321" t="s">
        <v>1050</v>
      </c>
      <c r="F321" t="s">
        <v>39</v>
      </c>
      <c r="G321" t="s">
        <v>66</v>
      </c>
      <c r="H321">
        <v>6208423.2000000002</v>
      </c>
      <c r="I321" t="s">
        <v>25</v>
      </c>
      <c r="J321">
        <v>3334849.56</v>
      </c>
      <c r="K321" t="s">
        <v>25</v>
      </c>
      <c r="L321" t="s">
        <v>26</v>
      </c>
      <c r="M321" s="20">
        <v>46155</v>
      </c>
      <c r="N321" s="20">
        <v>45987</v>
      </c>
      <c r="O321" t="s">
        <v>50</v>
      </c>
      <c r="P321" t="s">
        <v>58</v>
      </c>
      <c r="Q321" t="s">
        <v>97</v>
      </c>
      <c r="R321" t="s">
        <v>29</v>
      </c>
      <c r="S321" t="s">
        <v>1015</v>
      </c>
      <c r="T321" t="str">
        <f>IF(OR(F321="Project - Competitive",F321="Project - Not Competitive"),"New Business","Upsell")</f>
        <v>New Business</v>
      </c>
      <c r="U321" t="str">
        <f>TEXT(M321,"mm/aaaa")</f>
        <v>05/2026</v>
      </c>
      <c r="V321" t="str">
        <f t="shared" si="8"/>
        <v/>
      </c>
      <c r="W321" s="26">
        <f t="shared" ca="1" si="9"/>
        <v>151</v>
      </c>
    </row>
    <row r="322" spans="1:23">
      <c r="A322" t="s">
        <v>406</v>
      </c>
      <c r="B322" t="s">
        <v>35</v>
      </c>
      <c r="C322" t="s">
        <v>36</v>
      </c>
      <c r="D322" t="s">
        <v>37</v>
      </c>
      <c r="E322" t="s">
        <v>407</v>
      </c>
      <c r="F322" t="s">
        <v>39</v>
      </c>
      <c r="G322" t="s">
        <v>40</v>
      </c>
      <c r="H322">
        <v>60000</v>
      </c>
      <c r="I322" t="s">
        <v>25</v>
      </c>
      <c r="J322">
        <v>60000</v>
      </c>
      <c r="K322" t="s">
        <v>25</v>
      </c>
      <c r="L322" t="s">
        <v>26</v>
      </c>
      <c r="M322" s="20">
        <v>46041</v>
      </c>
      <c r="N322" s="20">
        <v>46014</v>
      </c>
      <c r="O322" t="s">
        <v>355</v>
      </c>
      <c r="P322" t="s">
        <v>1018</v>
      </c>
      <c r="Q322" t="s">
        <v>43</v>
      </c>
      <c r="R322" t="s">
        <v>29</v>
      </c>
      <c r="S322" t="s">
        <v>1016</v>
      </c>
      <c r="T322" t="str">
        <f>IF(OR(F322="Project - Competitive",F322="Project - Not Competitive"),"New Business","Upsell")</f>
        <v>New Business</v>
      </c>
      <c r="U322" t="str">
        <f>TEXT(M322,"mm/aaaa")</f>
        <v>01/2026</v>
      </c>
      <c r="V322">
        <f t="shared" si="8"/>
        <v>27</v>
      </c>
      <c r="W322" s="26" t="str">
        <f t="shared" ca="1" si="9"/>
        <v/>
      </c>
    </row>
    <row r="323" spans="1:23">
      <c r="A323" t="s">
        <v>220</v>
      </c>
      <c r="B323" t="s">
        <v>221</v>
      </c>
      <c r="C323" t="s">
        <v>222</v>
      </c>
      <c r="D323" t="s">
        <v>47</v>
      </c>
      <c r="E323" t="s">
        <v>228</v>
      </c>
      <c r="F323" t="s">
        <v>39</v>
      </c>
      <c r="G323" t="s">
        <v>66</v>
      </c>
      <c r="H323">
        <v>286464</v>
      </c>
      <c r="I323" t="s">
        <v>25</v>
      </c>
      <c r="J323">
        <v>12000</v>
      </c>
      <c r="K323" t="s">
        <v>25</v>
      </c>
      <c r="L323" t="s">
        <v>26</v>
      </c>
      <c r="M323" s="20">
        <v>46202</v>
      </c>
      <c r="N323" s="20">
        <v>45727</v>
      </c>
      <c r="O323" t="s">
        <v>224</v>
      </c>
      <c r="P323" t="s">
        <v>1018</v>
      </c>
      <c r="Q323" t="s">
        <v>225</v>
      </c>
      <c r="R323" t="s">
        <v>226</v>
      </c>
      <c r="S323" t="s">
        <v>1013</v>
      </c>
      <c r="T323" t="str">
        <f>IF(OR(F323="Project - Competitive",F323="Project - Not Competitive"),"New Business","Upsell")</f>
        <v>New Business</v>
      </c>
      <c r="U323" t="str">
        <f>TEXT(M323,"mm/aaaa")</f>
        <v>06/2026</v>
      </c>
      <c r="V323" t="str">
        <f t="shared" ref="V323:V386" si="10">IF(AND(G323="Closed Won",M323&gt;N323),M323-N323,"")</f>
        <v/>
      </c>
      <c r="W323" s="26">
        <f t="shared" ref="W323:W386" ca="1" si="11">IF(G323&lt;&gt;"Closed Won",MAX(0,TODAY()-N323),"")</f>
        <v>411</v>
      </c>
    </row>
    <row r="324" spans="1:23">
      <c r="A324" t="s">
        <v>752</v>
      </c>
      <c r="B324" t="s">
        <v>753</v>
      </c>
      <c r="C324" t="s">
        <v>754</v>
      </c>
      <c r="D324" t="s">
        <v>328</v>
      </c>
      <c r="E324" t="s">
        <v>755</v>
      </c>
      <c r="F324" t="s">
        <v>23</v>
      </c>
      <c r="G324" t="s">
        <v>24</v>
      </c>
      <c r="H324">
        <v>145803.84</v>
      </c>
      <c r="I324" t="s">
        <v>25</v>
      </c>
      <c r="J324">
        <v>145803.84</v>
      </c>
      <c r="K324" t="s">
        <v>25</v>
      </c>
      <c r="L324" t="s">
        <v>26</v>
      </c>
      <c r="M324" s="20">
        <v>46173</v>
      </c>
      <c r="N324" s="20">
        <v>46094</v>
      </c>
      <c r="O324" t="s">
        <v>27</v>
      </c>
      <c r="P324" t="s">
        <v>58</v>
      </c>
      <c r="Q324" t="s">
        <v>461</v>
      </c>
      <c r="R324" t="s">
        <v>29</v>
      </c>
      <c r="S324" t="s">
        <v>1012</v>
      </c>
      <c r="T324" t="str">
        <f>IF(OR(F324="Project - Competitive",F324="Project - Not Competitive"),"New Business","Upsell")</f>
        <v>Upsell</v>
      </c>
      <c r="U324" t="str">
        <f>TEXT(M324,"mm/aaaa")</f>
        <v>05/2026</v>
      </c>
      <c r="V324" t="str">
        <f t="shared" si="10"/>
        <v/>
      </c>
      <c r="W324" s="26">
        <f t="shared" ca="1" si="11"/>
        <v>44</v>
      </c>
    </row>
    <row r="325" spans="1:23" ht="14.4" customHeight="1">
      <c r="A325" t="s">
        <v>332</v>
      </c>
      <c r="B325" t="s">
        <v>333</v>
      </c>
      <c r="C325" t="s">
        <v>334</v>
      </c>
      <c r="D325" t="s">
        <v>175</v>
      </c>
      <c r="E325" t="s">
        <v>335</v>
      </c>
      <c r="F325" t="s">
        <v>82</v>
      </c>
      <c r="G325" t="s">
        <v>40</v>
      </c>
      <c r="H325">
        <v>234960</v>
      </c>
      <c r="I325" t="s">
        <v>25</v>
      </c>
      <c r="J325">
        <v>234960</v>
      </c>
      <c r="K325" t="s">
        <v>25</v>
      </c>
      <c r="L325" t="s">
        <v>26</v>
      </c>
      <c r="M325" s="20">
        <v>46042</v>
      </c>
      <c r="N325" s="20">
        <v>45989</v>
      </c>
      <c r="O325" t="s">
        <v>27</v>
      </c>
      <c r="P325" t="s">
        <v>58</v>
      </c>
      <c r="Q325" t="s">
        <v>336</v>
      </c>
      <c r="R325" t="s">
        <v>29</v>
      </c>
      <c r="S325" t="s">
        <v>1012</v>
      </c>
      <c r="T325" t="str">
        <f>IF(OR(F325="Project - Competitive",F325="Project - Not Competitive"),"New Business","Upsell")</f>
        <v>Upsell</v>
      </c>
      <c r="U325" t="str">
        <f>TEXT(M325,"mm/aaaa")</f>
        <v>01/2026</v>
      </c>
      <c r="V325">
        <f t="shared" si="10"/>
        <v>53</v>
      </c>
      <c r="W325" s="26" t="str">
        <f t="shared" ca="1" si="11"/>
        <v/>
      </c>
    </row>
    <row r="326" spans="1:23">
      <c r="A326" t="s">
        <v>444</v>
      </c>
      <c r="B326" t="s">
        <v>445</v>
      </c>
      <c r="C326" t="s">
        <v>1065</v>
      </c>
      <c r="D326" t="s">
        <v>132</v>
      </c>
      <c r="E326" t="s">
        <v>1054</v>
      </c>
      <c r="F326" t="s">
        <v>39</v>
      </c>
      <c r="G326" t="s">
        <v>330</v>
      </c>
      <c r="H326">
        <v>1200000</v>
      </c>
      <c r="I326" t="s">
        <v>25</v>
      </c>
      <c r="J326">
        <v>1200000</v>
      </c>
      <c r="K326" t="s">
        <v>25</v>
      </c>
      <c r="L326" t="s">
        <v>26</v>
      </c>
      <c r="M326" s="20">
        <v>46180</v>
      </c>
      <c r="N326" s="20">
        <v>46037</v>
      </c>
      <c r="O326" t="s">
        <v>290</v>
      </c>
      <c r="P326" t="s">
        <v>1018</v>
      </c>
      <c r="Q326" t="s">
        <v>446</v>
      </c>
      <c r="R326" t="s">
        <v>29</v>
      </c>
      <c r="S326" t="s">
        <v>1015</v>
      </c>
      <c r="T326" t="str">
        <f>IF(OR(F326="Project - Competitive",F326="Project - Not Competitive"),"New Business","Upsell")</f>
        <v>New Business</v>
      </c>
      <c r="U326" t="str">
        <f>TEXT(M326,"mm/aaaa")</f>
        <v>06/2026</v>
      </c>
      <c r="V326" t="str">
        <f t="shared" si="10"/>
        <v/>
      </c>
      <c r="W326" s="26">
        <f t="shared" ca="1" si="11"/>
        <v>101</v>
      </c>
    </row>
    <row r="327" spans="1:23" ht="14.4" customHeight="1">
      <c r="A327" t="s">
        <v>488</v>
      </c>
      <c r="B327" t="s">
        <v>489</v>
      </c>
      <c r="C327" t="s">
        <v>490</v>
      </c>
      <c r="D327" t="s">
        <v>298</v>
      </c>
      <c r="E327" t="s">
        <v>492</v>
      </c>
      <c r="F327" t="s">
        <v>39</v>
      </c>
      <c r="G327" t="s">
        <v>24</v>
      </c>
      <c r="H327">
        <v>360655.14</v>
      </c>
      <c r="I327" t="s">
        <v>25</v>
      </c>
      <c r="J327">
        <v>297600</v>
      </c>
      <c r="K327" t="s">
        <v>25</v>
      </c>
      <c r="L327" t="s">
        <v>26</v>
      </c>
      <c r="M327" s="20">
        <v>46125</v>
      </c>
      <c r="N327" s="20">
        <v>46045</v>
      </c>
      <c r="O327" t="s">
        <v>554</v>
      </c>
      <c r="P327" t="s">
        <v>58</v>
      </c>
      <c r="Q327" t="s">
        <v>88</v>
      </c>
      <c r="R327" t="s">
        <v>29</v>
      </c>
      <c r="S327" t="s">
        <v>1012</v>
      </c>
      <c r="T327" t="str">
        <f>IF(OR(F327="Project - Competitive",F327="Project - Not Competitive"),"New Business","Upsell")</f>
        <v>New Business</v>
      </c>
      <c r="U327" t="str">
        <f>TEXT(M327,"mm/aaaa")</f>
        <v>04/2026</v>
      </c>
      <c r="V327" t="str">
        <f t="shared" si="10"/>
        <v/>
      </c>
      <c r="W327" s="26">
        <f t="shared" ca="1" si="11"/>
        <v>93</v>
      </c>
    </row>
    <row r="328" spans="1:23" ht="14.4" customHeight="1">
      <c r="A328" t="s">
        <v>942</v>
      </c>
      <c r="B328" t="s">
        <v>152</v>
      </c>
      <c r="C328" t="s">
        <v>153</v>
      </c>
      <c r="D328" t="s">
        <v>95</v>
      </c>
      <c r="E328" t="s">
        <v>943</v>
      </c>
      <c r="F328" t="s">
        <v>23</v>
      </c>
      <c r="G328" t="s">
        <v>535</v>
      </c>
      <c r="H328">
        <v>25000</v>
      </c>
      <c r="I328" t="s">
        <v>25</v>
      </c>
      <c r="J328">
        <v>25000</v>
      </c>
      <c r="K328" t="s">
        <v>25</v>
      </c>
      <c r="L328" t="s">
        <v>26</v>
      </c>
      <c r="M328" s="20">
        <v>46234</v>
      </c>
      <c r="N328" s="20">
        <v>46299</v>
      </c>
      <c r="O328" t="s">
        <v>872</v>
      </c>
      <c r="P328" t="s">
        <v>1018</v>
      </c>
      <c r="Q328" t="s">
        <v>165</v>
      </c>
      <c r="R328" t="s">
        <v>29</v>
      </c>
      <c r="S328" t="s">
        <v>1012</v>
      </c>
      <c r="T328" t="str">
        <f>IF(OR(F328="Project - Competitive",F328="Project - Not Competitive"),"New Business","Upsell")</f>
        <v>Upsell</v>
      </c>
      <c r="U328" t="str">
        <f>TEXT(M328,"mm/aaaa")</f>
        <v>07/2026</v>
      </c>
      <c r="V328" t="str">
        <f t="shared" si="10"/>
        <v/>
      </c>
      <c r="W328" s="26">
        <f t="shared" ca="1" si="11"/>
        <v>0</v>
      </c>
    </row>
    <row r="329" spans="1:23">
      <c r="A329" t="s">
        <v>950</v>
      </c>
      <c r="B329" t="s">
        <v>951</v>
      </c>
      <c r="C329" t="s">
        <v>952</v>
      </c>
      <c r="D329" t="s">
        <v>64</v>
      </c>
      <c r="E329" t="s">
        <v>953</v>
      </c>
      <c r="F329" t="s">
        <v>39</v>
      </c>
      <c r="G329" t="s">
        <v>535</v>
      </c>
      <c r="H329">
        <v>384000</v>
      </c>
      <c r="I329" t="s">
        <v>25</v>
      </c>
      <c r="J329">
        <v>384000</v>
      </c>
      <c r="K329" t="s">
        <v>25</v>
      </c>
      <c r="L329" t="s">
        <v>26</v>
      </c>
      <c r="M329" s="20">
        <v>46203</v>
      </c>
      <c r="N329" s="20">
        <v>46299</v>
      </c>
      <c r="O329" t="s">
        <v>804</v>
      </c>
      <c r="P329" t="s">
        <v>1018</v>
      </c>
      <c r="Q329" t="s">
        <v>165</v>
      </c>
      <c r="R329" t="s">
        <v>226</v>
      </c>
      <c r="S329" t="s">
        <v>1016</v>
      </c>
      <c r="T329" t="str">
        <f>IF(OR(F329="Project - Competitive",F329="Project - Not Competitive"),"New Business","Upsell")</f>
        <v>New Business</v>
      </c>
      <c r="U329" t="str">
        <f>TEXT(M329,"mm/aaaa")</f>
        <v>06/2026</v>
      </c>
      <c r="V329" t="str">
        <f t="shared" si="10"/>
        <v/>
      </c>
      <c r="W329" s="26">
        <f t="shared" ca="1" si="11"/>
        <v>0</v>
      </c>
    </row>
    <row r="330" spans="1:23">
      <c r="A330" t="s">
        <v>432</v>
      </c>
      <c r="B330" t="s">
        <v>326</v>
      </c>
      <c r="C330" t="s">
        <v>327</v>
      </c>
      <c r="D330" t="s">
        <v>328</v>
      </c>
      <c r="E330" t="s">
        <v>329</v>
      </c>
      <c r="F330" t="s">
        <v>82</v>
      </c>
      <c r="G330" t="s">
        <v>40</v>
      </c>
      <c r="H330">
        <v>3156666.46</v>
      </c>
      <c r="I330" t="s">
        <v>25</v>
      </c>
      <c r="J330">
        <v>1530024.1</v>
      </c>
      <c r="K330" t="s">
        <v>25</v>
      </c>
      <c r="L330" t="s">
        <v>26</v>
      </c>
      <c r="M330" s="20">
        <v>46079</v>
      </c>
      <c r="N330" s="20">
        <v>46357</v>
      </c>
      <c r="O330" t="s">
        <v>27</v>
      </c>
      <c r="P330" t="s">
        <v>1018</v>
      </c>
      <c r="Q330" t="s">
        <v>434</v>
      </c>
      <c r="R330" t="s">
        <v>29</v>
      </c>
      <c r="S330" t="s">
        <v>1012</v>
      </c>
      <c r="T330" t="str">
        <f>IF(OR(F330="Project - Competitive",F330="Project - Not Competitive"),"New Business","Upsell")</f>
        <v>Upsell</v>
      </c>
      <c r="U330" t="str">
        <f>TEXT(M330,"mm/aaaa")</f>
        <v>02/2026</v>
      </c>
      <c r="V330" t="str">
        <f t="shared" si="10"/>
        <v/>
      </c>
      <c r="W330" s="26" t="str">
        <f t="shared" ca="1" si="11"/>
        <v/>
      </c>
    </row>
    <row r="331" spans="1:23">
      <c r="A331" t="s">
        <v>879</v>
      </c>
      <c r="B331" t="s">
        <v>326</v>
      </c>
      <c r="C331" t="s">
        <v>327</v>
      </c>
      <c r="D331" t="s">
        <v>328</v>
      </c>
      <c r="E331" t="s">
        <v>436</v>
      </c>
      <c r="F331" t="s">
        <v>23</v>
      </c>
      <c r="G331" t="s">
        <v>66</v>
      </c>
      <c r="H331">
        <v>264000</v>
      </c>
      <c r="I331" t="s">
        <v>25</v>
      </c>
      <c r="J331">
        <v>264000</v>
      </c>
      <c r="K331" t="s">
        <v>25</v>
      </c>
      <c r="L331" t="s">
        <v>26</v>
      </c>
      <c r="M331" s="20">
        <v>46173</v>
      </c>
      <c r="N331" s="20">
        <v>46057</v>
      </c>
      <c r="O331" t="s">
        <v>27</v>
      </c>
      <c r="P331" t="s">
        <v>1018</v>
      </c>
      <c r="Q331" t="s">
        <v>29</v>
      </c>
      <c r="R331" t="s">
        <v>29</v>
      </c>
      <c r="S331" t="s">
        <v>1012</v>
      </c>
      <c r="T331" t="str">
        <f>IF(OR(F331="Project - Competitive",F331="Project - Not Competitive"),"New Business","Upsell")</f>
        <v>Upsell</v>
      </c>
      <c r="U331" t="str">
        <f>TEXT(M331,"mm/aaaa")</f>
        <v>05/2026</v>
      </c>
      <c r="V331" t="str">
        <f t="shared" si="10"/>
        <v/>
      </c>
      <c r="W331" s="26">
        <f t="shared" ca="1" si="11"/>
        <v>81</v>
      </c>
    </row>
    <row r="332" spans="1:23">
      <c r="A332" t="s">
        <v>340</v>
      </c>
      <c r="B332" t="s">
        <v>341</v>
      </c>
      <c r="C332" t="s">
        <v>342</v>
      </c>
      <c r="D332" t="s">
        <v>147</v>
      </c>
      <c r="E332" t="s">
        <v>347</v>
      </c>
      <c r="F332" t="s">
        <v>39</v>
      </c>
      <c r="G332" t="s">
        <v>66</v>
      </c>
      <c r="H332">
        <v>2627267.83</v>
      </c>
      <c r="I332" t="s">
        <v>25</v>
      </c>
      <c r="J332">
        <v>1263216.3600000001</v>
      </c>
      <c r="K332" t="s">
        <v>25</v>
      </c>
      <c r="L332" t="s">
        <v>26</v>
      </c>
      <c r="M332" s="20">
        <v>46331</v>
      </c>
      <c r="N332" s="20">
        <v>45669</v>
      </c>
      <c r="O332" t="s">
        <v>290</v>
      </c>
      <c r="P332" t="s">
        <v>58</v>
      </c>
      <c r="Q332" t="s">
        <v>344</v>
      </c>
      <c r="R332" t="s">
        <v>29</v>
      </c>
      <c r="S332" t="s">
        <v>1015</v>
      </c>
      <c r="T332" t="str">
        <f>IF(OR(F332="Project - Competitive",F332="Project - Not Competitive"),"New Business","Upsell")</f>
        <v>New Business</v>
      </c>
      <c r="U332" t="str">
        <f>TEXT(M332,"mm/aaaa")</f>
        <v>11/2026</v>
      </c>
      <c r="V332" t="str">
        <f t="shared" si="10"/>
        <v/>
      </c>
      <c r="W332" s="26">
        <f t="shared" ca="1" si="11"/>
        <v>469</v>
      </c>
    </row>
    <row r="333" spans="1:23">
      <c r="A333" t="s">
        <v>18</v>
      </c>
      <c r="B333" t="s">
        <v>19</v>
      </c>
      <c r="C333" t="s">
        <v>20</v>
      </c>
      <c r="D333" t="s">
        <v>21</v>
      </c>
      <c r="E333" t="s">
        <v>22</v>
      </c>
      <c r="F333" t="s">
        <v>23</v>
      </c>
      <c r="G333" t="s">
        <v>24</v>
      </c>
      <c r="H333">
        <v>3043949.95</v>
      </c>
      <c r="I333" t="s">
        <v>25</v>
      </c>
      <c r="J333">
        <v>829077.09</v>
      </c>
      <c r="K333" t="s">
        <v>25</v>
      </c>
      <c r="L333" t="s">
        <v>26</v>
      </c>
      <c r="M333" s="20">
        <v>46142</v>
      </c>
      <c r="N333" s="20">
        <v>45796</v>
      </c>
      <c r="O333" t="s">
        <v>27</v>
      </c>
      <c r="P333" t="s">
        <v>1018</v>
      </c>
      <c r="Q333" t="s">
        <v>28</v>
      </c>
      <c r="R333" t="s">
        <v>29</v>
      </c>
      <c r="S333" t="s">
        <v>1012</v>
      </c>
      <c r="T333" t="str">
        <f>IF(OR(F333="Project - Competitive",F333="Project - Not Competitive"),"New Business","Upsell")</f>
        <v>Upsell</v>
      </c>
      <c r="U333" t="str">
        <f>TEXT(M333,"mm/aaaa")</f>
        <v>04/2026</v>
      </c>
      <c r="V333" t="str">
        <f t="shared" si="10"/>
        <v/>
      </c>
      <c r="W333" s="26">
        <f t="shared" ca="1" si="11"/>
        <v>342</v>
      </c>
    </row>
    <row r="334" spans="1:23">
      <c r="A334" t="s">
        <v>363</v>
      </c>
      <c r="B334" t="s">
        <v>19</v>
      </c>
      <c r="C334" t="s">
        <v>20</v>
      </c>
      <c r="D334" t="s">
        <v>21</v>
      </c>
      <c r="E334" t="s">
        <v>338</v>
      </c>
      <c r="F334" t="s">
        <v>82</v>
      </c>
      <c r="G334" t="s">
        <v>24</v>
      </c>
      <c r="H334">
        <v>4235159.34</v>
      </c>
      <c r="I334" t="s">
        <v>25</v>
      </c>
      <c r="J334">
        <v>3564631.98</v>
      </c>
      <c r="K334" t="s">
        <v>25</v>
      </c>
      <c r="L334" t="s">
        <v>26</v>
      </c>
      <c r="M334" s="20">
        <v>46129</v>
      </c>
      <c r="N334" s="20">
        <v>45881</v>
      </c>
      <c r="O334" t="s">
        <v>27</v>
      </c>
      <c r="P334" t="s">
        <v>1018</v>
      </c>
      <c r="Q334" t="s">
        <v>156</v>
      </c>
      <c r="R334" t="s">
        <v>122</v>
      </c>
      <c r="S334" t="s">
        <v>1012</v>
      </c>
      <c r="T334" t="str">
        <f>IF(OR(F334="Project - Competitive",F334="Project - Not Competitive"),"New Business","Upsell")</f>
        <v>Upsell</v>
      </c>
      <c r="U334" t="str">
        <f>TEXT(M334,"mm/aaaa")</f>
        <v>04/2026</v>
      </c>
      <c r="V334" t="str">
        <f t="shared" si="10"/>
        <v/>
      </c>
      <c r="W334" s="26">
        <f t="shared" ca="1" si="11"/>
        <v>257</v>
      </c>
    </row>
    <row r="335" spans="1:23">
      <c r="A335" t="s">
        <v>656</v>
      </c>
      <c r="B335" t="s">
        <v>19</v>
      </c>
      <c r="C335" t="s">
        <v>20</v>
      </c>
      <c r="D335" t="s">
        <v>21</v>
      </c>
      <c r="E335" t="s">
        <v>32</v>
      </c>
      <c r="F335" t="s">
        <v>23</v>
      </c>
      <c r="G335" t="s">
        <v>66</v>
      </c>
      <c r="H335">
        <v>720000</v>
      </c>
      <c r="I335" t="s">
        <v>25</v>
      </c>
      <c r="J335">
        <v>720000</v>
      </c>
      <c r="K335" t="s">
        <v>25</v>
      </c>
      <c r="L335" t="s">
        <v>26</v>
      </c>
      <c r="M335" s="20">
        <v>46173</v>
      </c>
      <c r="N335" s="20">
        <v>46056</v>
      </c>
      <c r="O335" t="s">
        <v>27</v>
      </c>
      <c r="P335" t="s">
        <v>1018</v>
      </c>
      <c r="Q335" t="s">
        <v>29</v>
      </c>
      <c r="R335" t="s">
        <v>29</v>
      </c>
      <c r="S335" t="s">
        <v>1012</v>
      </c>
      <c r="T335" t="str">
        <f>IF(OR(F335="Project - Competitive",F335="Project - Not Competitive"),"New Business","Upsell")</f>
        <v>Upsell</v>
      </c>
      <c r="U335" t="str">
        <f>TEXT(M335,"mm/aaaa")</f>
        <v>05/2026</v>
      </c>
      <c r="V335" t="str">
        <f t="shared" si="10"/>
        <v/>
      </c>
      <c r="W335" s="26">
        <f t="shared" ca="1" si="11"/>
        <v>82</v>
      </c>
    </row>
    <row r="336" spans="1:23">
      <c r="A336" t="s">
        <v>390</v>
      </c>
      <c r="B336" t="s">
        <v>19</v>
      </c>
      <c r="C336" t="s">
        <v>20</v>
      </c>
      <c r="D336" t="s">
        <v>21</v>
      </c>
      <c r="E336" t="s">
        <v>32</v>
      </c>
      <c r="F336" t="s">
        <v>23</v>
      </c>
      <c r="G336" t="s">
        <v>24</v>
      </c>
      <c r="H336">
        <v>594455.31000000006</v>
      </c>
      <c r="I336" t="s">
        <v>25</v>
      </c>
      <c r="J336">
        <v>387913.59</v>
      </c>
      <c r="K336" t="s">
        <v>25</v>
      </c>
      <c r="L336" t="s">
        <v>26</v>
      </c>
      <c r="M336" s="20">
        <v>46142</v>
      </c>
      <c r="N336" s="20">
        <v>46006</v>
      </c>
      <c r="O336" t="s">
        <v>27</v>
      </c>
      <c r="P336" t="s">
        <v>1018</v>
      </c>
      <c r="Q336" t="s">
        <v>156</v>
      </c>
      <c r="R336" t="s">
        <v>185</v>
      </c>
      <c r="S336" t="s">
        <v>1012</v>
      </c>
      <c r="T336" t="str">
        <f>IF(OR(F336="Project - Competitive",F336="Project - Not Competitive"),"New Business","Upsell")</f>
        <v>Upsell</v>
      </c>
      <c r="U336" t="str">
        <f>TEXT(M336,"mm/aaaa")</f>
        <v>04/2026</v>
      </c>
      <c r="V336" t="str">
        <f t="shared" si="10"/>
        <v/>
      </c>
      <c r="W336" s="26">
        <f t="shared" ca="1" si="11"/>
        <v>132</v>
      </c>
    </row>
    <row r="337" spans="1:23">
      <c r="A337" t="s">
        <v>92</v>
      </c>
      <c r="B337" t="s">
        <v>93</v>
      </c>
      <c r="C337" t="s">
        <v>94</v>
      </c>
      <c r="D337" t="s">
        <v>95</v>
      </c>
      <c r="E337" t="s">
        <v>98</v>
      </c>
      <c r="F337" t="s">
        <v>23</v>
      </c>
      <c r="G337" t="s">
        <v>40</v>
      </c>
      <c r="H337">
        <v>180000</v>
      </c>
      <c r="I337" t="s">
        <v>25</v>
      </c>
      <c r="J337">
        <v>72000</v>
      </c>
      <c r="K337" t="s">
        <v>25</v>
      </c>
      <c r="L337" t="s">
        <v>26</v>
      </c>
      <c r="M337" s="20">
        <v>46267</v>
      </c>
      <c r="N337" s="20">
        <v>45898</v>
      </c>
      <c r="O337" t="s">
        <v>27</v>
      </c>
      <c r="P337" t="s">
        <v>1018</v>
      </c>
      <c r="Q337" t="s">
        <v>97</v>
      </c>
      <c r="R337" t="s">
        <v>29</v>
      </c>
      <c r="S337" t="s">
        <v>1012</v>
      </c>
      <c r="T337" t="str">
        <f>IF(OR(F337="Project - Competitive",F337="Project - Not Competitive"),"New Business","Upsell")</f>
        <v>Upsell</v>
      </c>
      <c r="U337" t="str">
        <f>TEXT(M337,"mm/aaaa")</f>
        <v>09/2026</v>
      </c>
      <c r="V337">
        <f t="shared" si="10"/>
        <v>369</v>
      </c>
      <c r="W337" s="26" t="str">
        <f t="shared" ca="1" si="11"/>
        <v/>
      </c>
    </row>
    <row r="338" spans="1:23">
      <c r="A338" t="s">
        <v>254</v>
      </c>
      <c r="B338" t="s">
        <v>255</v>
      </c>
      <c r="C338" t="s">
        <v>256</v>
      </c>
      <c r="D338" t="s">
        <v>95</v>
      </c>
      <c r="E338" t="s">
        <v>257</v>
      </c>
      <c r="F338" t="s">
        <v>23</v>
      </c>
      <c r="G338" t="s">
        <v>119</v>
      </c>
      <c r="H338">
        <v>242040.36</v>
      </c>
      <c r="I338" t="s">
        <v>25</v>
      </c>
      <c r="J338">
        <v>242040.36</v>
      </c>
      <c r="K338" t="s">
        <v>25</v>
      </c>
      <c r="L338" t="s">
        <v>26</v>
      </c>
      <c r="M338" s="20">
        <v>46173</v>
      </c>
      <c r="N338" s="20">
        <v>45975</v>
      </c>
      <c r="O338" t="s">
        <v>27</v>
      </c>
      <c r="P338" t="s">
        <v>1018</v>
      </c>
      <c r="Q338" t="s">
        <v>258</v>
      </c>
      <c r="R338" t="s">
        <v>29</v>
      </c>
      <c r="S338" t="s">
        <v>1012</v>
      </c>
      <c r="T338" t="str">
        <f>IF(OR(F338="Project - Competitive",F338="Project - Not Competitive"),"New Business","Upsell")</f>
        <v>Upsell</v>
      </c>
      <c r="U338" t="str">
        <f>TEXT(M338,"mm/aaaa")</f>
        <v>05/2026</v>
      </c>
      <c r="V338" t="str">
        <f t="shared" si="10"/>
        <v/>
      </c>
      <c r="W338" s="26">
        <f t="shared" ca="1" si="11"/>
        <v>163</v>
      </c>
    </row>
    <row r="339" spans="1:23" ht="14.4" customHeight="1">
      <c r="A339" t="s">
        <v>539</v>
      </c>
      <c r="B339" t="s">
        <v>540</v>
      </c>
      <c r="C339" t="s">
        <v>1066</v>
      </c>
      <c r="D339" t="s">
        <v>298</v>
      </c>
      <c r="E339" t="s">
        <v>1059</v>
      </c>
      <c r="F339" t="s">
        <v>49</v>
      </c>
      <c r="G339" t="s">
        <v>66</v>
      </c>
      <c r="H339">
        <v>362880</v>
      </c>
      <c r="I339" t="s">
        <v>25</v>
      </c>
      <c r="J339">
        <v>314880</v>
      </c>
      <c r="K339" t="s">
        <v>25</v>
      </c>
      <c r="L339" t="s">
        <v>26</v>
      </c>
      <c r="M339" s="20">
        <v>46142</v>
      </c>
      <c r="N339" s="20">
        <v>46175</v>
      </c>
      <c r="O339" t="s">
        <v>541</v>
      </c>
      <c r="P339" t="s">
        <v>1018</v>
      </c>
      <c r="Q339" t="s">
        <v>105</v>
      </c>
      <c r="R339" t="s">
        <v>29</v>
      </c>
      <c r="S339" t="s">
        <v>1015</v>
      </c>
      <c r="T339" t="str">
        <f>IF(OR(F339="Project - Competitive",F339="Project - Not Competitive"),"New Business","Upsell")</f>
        <v>New Business</v>
      </c>
      <c r="U339" t="str">
        <f>TEXT(M339,"mm/aaaa")</f>
        <v>04/2026</v>
      </c>
      <c r="V339" t="str">
        <f t="shared" si="10"/>
        <v/>
      </c>
      <c r="W339" s="26">
        <f t="shared" ca="1" si="11"/>
        <v>0</v>
      </c>
    </row>
    <row r="340" spans="1:23">
      <c r="A340" t="s">
        <v>786</v>
      </c>
      <c r="B340" t="s">
        <v>787</v>
      </c>
      <c r="C340" t="s">
        <v>788</v>
      </c>
      <c r="D340" t="s">
        <v>64</v>
      </c>
      <c r="E340" t="s">
        <v>789</v>
      </c>
      <c r="F340" t="s">
        <v>49</v>
      </c>
      <c r="G340" t="s">
        <v>330</v>
      </c>
      <c r="H340">
        <v>31256.14</v>
      </c>
      <c r="I340" t="s">
        <v>25</v>
      </c>
      <c r="J340">
        <v>10256.14</v>
      </c>
      <c r="K340" t="s">
        <v>25</v>
      </c>
      <c r="L340" t="s">
        <v>26</v>
      </c>
      <c r="M340" s="20">
        <v>46171</v>
      </c>
      <c r="N340" s="20">
        <v>46101</v>
      </c>
      <c r="O340" t="s">
        <v>135</v>
      </c>
      <c r="P340" t="s">
        <v>1018</v>
      </c>
      <c r="Q340" t="s">
        <v>165</v>
      </c>
      <c r="R340" t="s">
        <v>29</v>
      </c>
      <c r="S340" t="s">
        <v>1014</v>
      </c>
      <c r="T340" t="str">
        <f>IF(OR(F340="Project - Competitive",F340="Project - Not Competitive"),"New Business","Upsell")</f>
        <v>New Business</v>
      </c>
      <c r="U340" t="str">
        <f>TEXT(M340,"mm/aaaa")</f>
        <v>05/2026</v>
      </c>
      <c r="V340" t="str">
        <f t="shared" si="10"/>
        <v/>
      </c>
      <c r="W340" s="26">
        <f t="shared" ca="1" si="11"/>
        <v>37</v>
      </c>
    </row>
    <row r="341" spans="1:23">
      <c r="A341" t="s">
        <v>585</v>
      </c>
      <c r="B341" t="s">
        <v>586</v>
      </c>
      <c r="C341" t="s">
        <v>587</v>
      </c>
      <c r="D341" t="s">
        <v>64</v>
      </c>
      <c r="E341" t="s">
        <v>588</v>
      </c>
      <c r="F341" t="s">
        <v>49</v>
      </c>
      <c r="G341" t="s">
        <v>119</v>
      </c>
      <c r="H341">
        <v>372818.4</v>
      </c>
      <c r="I341" t="s">
        <v>25</v>
      </c>
      <c r="J341">
        <v>372818.4</v>
      </c>
      <c r="K341" t="s">
        <v>25</v>
      </c>
      <c r="L341" t="s">
        <v>26</v>
      </c>
      <c r="M341" s="20">
        <v>46171</v>
      </c>
      <c r="N341" s="20">
        <v>46066</v>
      </c>
      <c r="O341" t="s">
        <v>584</v>
      </c>
      <c r="P341" t="s">
        <v>1018</v>
      </c>
      <c r="Q341" t="s">
        <v>589</v>
      </c>
      <c r="R341" t="s">
        <v>29</v>
      </c>
      <c r="S341" t="s">
        <v>1014</v>
      </c>
      <c r="T341" t="str">
        <f>IF(OR(F341="Project - Competitive",F341="Project - Not Competitive"),"New Business","Upsell")</f>
        <v>New Business</v>
      </c>
      <c r="U341" t="str">
        <f>TEXT(M341,"mm/aaaa")</f>
        <v>05/2026</v>
      </c>
      <c r="V341" t="str">
        <f t="shared" si="10"/>
        <v/>
      </c>
      <c r="W341" s="26">
        <f t="shared" ca="1" si="11"/>
        <v>72</v>
      </c>
    </row>
    <row r="342" spans="1:23">
      <c r="A342" t="s">
        <v>172</v>
      </c>
      <c r="B342" t="s">
        <v>173</v>
      </c>
      <c r="C342" t="s">
        <v>174</v>
      </c>
      <c r="D342" t="s">
        <v>175</v>
      </c>
      <c r="E342" t="s">
        <v>176</v>
      </c>
      <c r="F342" t="s">
        <v>23</v>
      </c>
      <c r="G342" t="s">
        <v>24</v>
      </c>
      <c r="H342">
        <v>593400</v>
      </c>
      <c r="I342" t="s">
        <v>25</v>
      </c>
      <c r="J342">
        <v>248251.44</v>
      </c>
      <c r="K342" t="s">
        <v>25</v>
      </c>
      <c r="L342" t="s">
        <v>26</v>
      </c>
      <c r="M342" s="20">
        <v>46142</v>
      </c>
      <c r="N342" s="20">
        <v>45940</v>
      </c>
      <c r="O342" t="s">
        <v>27</v>
      </c>
      <c r="P342" t="s">
        <v>1018</v>
      </c>
      <c r="Q342" t="s">
        <v>177</v>
      </c>
      <c r="R342" t="s">
        <v>29</v>
      </c>
      <c r="S342" t="s">
        <v>1012</v>
      </c>
      <c r="T342" t="str">
        <f>IF(OR(F342="Project - Competitive",F342="Project - Not Competitive"),"New Business","Upsell")</f>
        <v>Upsell</v>
      </c>
      <c r="U342" t="str">
        <f>TEXT(M342,"mm/aaaa")</f>
        <v>04/2026</v>
      </c>
      <c r="V342" t="str">
        <f t="shared" si="10"/>
        <v/>
      </c>
      <c r="W342" s="26">
        <f t="shared" ca="1" si="11"/>
        <v>198</v>
      </c>
    </row>
    <row r="343" spans="1:23">
      <c r="A343" t="s">
        <v>594</v>
      </c>
      <c r="B343" t="s">
        <v>206</v>
      </c>
      <c r="C343" t="s">
        <v>207</v>
      </c>
      <c r="D343" t="s">
        <v>37</v>
      </c>
      <c r="E343" t="s">
        <v>208</v>
      </c>
      <c r="F343" t="s">
        <v>39</v>
      </c>
      <c r="G343" t="s">
        <v>24</v>
      </c>
      <c r="H343">
        <v>1184791</v>
      </c>
      <c r="I343" t="s">
        <v>25</v>
      </c>
      <c r="J343">
        <v>777971</v>
      </c>
      <c r="K343" t="s">
        <v>25</v>
      </c>
      <c r="L343" t="s">
        <v>26</v>
      </c>
      <c r="M343" s="20">
        <v>46136</v>
      </c>
      <c r="N343" s="20">
        <v>46071</v>
      </c>
      <c r="O343" t="s">
        <v>149</v>
      </c>
      <c r="P343" t="s">
        <v>1005</v>
      </c>
      <c r="Q343" t="s">
        <v>156</v>
      </c>
      <c r="R343" t="s">
        <v>198</v>
      </c>
      <c r="S343" t="s">
        <v>1015</v>
      </c>
      <c r="T343" t="str">
        <f>IF(OR(F343="Project - Competitive",F343="Project - Not Competitive"),"New Business","Upsell")</f>
        <v>New Business</v>
      </c>
      <c r="U343" t="str">
        <f>TEXT(M343,"mm/aaaa")</f>
        <v>04/2026</v>
      </c>
      <c r="V343" t="str">
        <f t="shared" si="10"/>
        <v/>
      </c>
      <c r="W343" s="26">
        <f t="shared" ca="1" si="11"/>
        <v>67</v>
      </c>
    </row>
    <row r="344" spans="1:23">
      <c r="A344" t="s">
        <v>205</v>
      </c>
      <c r="B344" t="s">
        <v>206</v>
      </c>
      <c r="C344" t="s">
        <v>207</v>
      </c>
      <c r="D344" t="s">
        <v>37</v>
      </c>
      <c r="E344" t="s">
        <v>595</v>
      </c>
      <c r="F344" t="s">
        <v>39</v>
      </c>
      <c r="G344" t="s">
        <v>40</v>
      </c>
      <c r="H344">
        <v>1014586.08</v>
      </c>
      <c r="I344" t="s">
        <v>25</v>
      </c>
      <c r="J344">
        <v>472133.4</v>
      </c>
      <c r="K344" t="s">
        <v>25</v>
      </c>
      <c r="L344" t="s">
        <v>26</v>
      </c>
      <c r="M344" s="20">
        <v>46174</v>
      </c>
      <c r="N344" s="20">
        <v>45957</v>
      </c>
      <c r="O344" t="s">
        <v>554</v>
      </c>
      <c r="P344" t="s">
        <v>1005</v>
      </c>
      <c r="Q344" t="s">
        <v>210</v>
      </c>
      <c r="R344" t="s">
        <v>122</v>
      </c>
      <c r="S344" t="s">
        <v>1012</v>
      </c>
      <c r="T344" t="str">
        <f>IF(OR(F344="Project - Competitive",F344="Project - Not Competitive"),"New Business","Upsell")</f>
        <v>New Business</v>
      </c>
      <c r="U344" t="str">
        <f>TEXT(M344,"mm/aaaa")</f>
        <v>06/2026</v>
      </c>
      <c r="V344">
        <f t="shared" si="10"/>
        <v>217</v>
      </c>
      <c r="W344" s="26" t="str">
        <f t="shared" ca="1" si="11"/>
        <v/>
      </c>
    </row>
    <row r="345" spans="1:23">
      <c r="A345" t="s">
        <v>247</v>
      </c>
      <c r="B345" t="s">
        <v>161</v>
      </c>
      <c r="C345" t="s">
        <v>162</v>
      </c>
      <c r="D345" t="s">
        <v>102</v>
      </c>
      <c r="E345" t="s">
        <v>163</v>
      </c>
      <c r="F345" t="s">
        <v>23</v>
      </c>
      <c r="G345" t="s">
        <v>40</v>
      </c>
      <c r="H345">
        <v>88063.48</v>
      </c>
      <c r="I345" t="s">
        <v>25</v>
      </c>
      <c r="J345">
        <v>88063.48</v>
      </c>
      <c r="K345" t="s">
        <v>25</v>
      </c>
      <c r="L345" t="s">
        <v>26</v>
      </c>
      <c r="M345" s="20">
        <v>46359</v>
      </c>
      <c r="N345" s="20">
        <v>45974</v>
      </c>
      <c r="O345" t="s">
        <v>355</v>
      </c>
      <c r="P345" t="s">
        <v>58</v>
      </c>
      <c r="Q345">
        <v>33</v>
      </c>
      <c r="R345" t="s">
        <v>165</v>
      </c>
      <c r="S345" t="s">
        <v>1016</v>
      </c>
      <c r="T345" t="str">
        <f>IF(OR(F345="Project - Competitive",F345="Project - Not Competitive"),"New Business","Upsell")</f>
        <v>Upsell</v>
      </c>
      <c r="U345" t="str">
        <f>TEXT(M345,"mm/aaaa")</f>
        <v>12/2026</v>
      </c>
      <c r="V345">
        <f t="shared" si="10"/>
        <v>385</v>
      </c>
      <c r="W345" s="26" t="str">
        <f t="shared" ca="1" si="11"/>
        <v/>
      </c>
    </row>
    <row r="346" spans="1:23">
      <c r="A346" t="s">
        <v>400</v>
      </c>
      <c r="B346" t="s">
        <v>161</v>
      </c>
      <c r="C346" t="s">
        <v>162</v>
      </c>
      <c r="D346" t="s">
        <v>102</v>
      </c>
      <c r="E346" t="s">
        <v>163</v>
      </c>
      <c r="F346" t="s">
        <v>23</v>
      </c>
      <c r="G346" t="s">
        <v>40</v>
      </c>
      <c r="H346">
        <v>44031.74</v>
      </c>
      <c r="I346" t="s">
        <v>25</v>
      </c>
      <c r="J346">
        <v>44031.74</v>
      </c>
      <c r="K346" t="s">
        <v>25</v>
      </c>
      <c r="L346" t="s">
        <v>26</v>
      </c>
      <c r="M346" s="20">
        <v>46055</v>
      </c>
      <c r="N346" s="20">
        <v>46010</v>
      </c>
      <c r="O346" t="s">
        <v>27</v>
      </c>
      <c r="P346" t="s">
        <v>58</v>
      </c>
      <c r="Q346" t="s">
        <v>184</v>
      </c>
      <c r="R346" t="s">
        <v>73</v>
      </c>
      <c r="S346" t="s">
        <v>1012</v>
      </c>
      <c r="T346" t="str">
        <f>IF(OR(F346="Project - Competitive",F346="Project - Not Competitive"),"New Business","Upsell")</f>
        <v>Upsell</v>
      </c>
      <c r="U346" t="str">
        <f>TEXT(M346,"mm/aaaa")</f>
        <v>02/2026</v>
      </c>
      <c r="V346">
        <f t="shared" si="10"/>
        <v>45</v>
      </c>
      <c r="W346" s="26" t="str">
        <f t="shared" ca="1" si="11"/>
        <v/>
      </c>
    </row>
    <row r="347" spans="1:23" ht="14.4" customHeight="1">
      <c r="A347" t="s">
        <v>160</v>
      </c>
      <c r="B347" t="s">
        <v>161</v>
      </c>
      <c r="C347" t="s">
        <v>162</v>
      </c>
      <c r="D347" t="s">
        <v>102</v>
      </c>
      <c r="E347" t="s">
        <v>399</v>
      </c>
      <c r="F347" t="s">
        <v>82</v>
      </c>
      <c r="G347" t="s">
        <v>40</v>
      </c>
      <c r="H347">
        <v>286200</v>
      </c>
      <c r="I347" t="s">
        <v>25</v>
      </c>
      <c r="J347">
        <v>286200</v>
      </c>
      <c r="K347" t="s">
        <v>25</v>
      </c>
      <c r="L347" t="s">
        <v>26</v>
      </c>
      <c r="M347" s="20">
        <v>46359</v>
      </c>
      <c r="N347" s="20">
        <v>45910</v>
      </c>
      <c r="O347" t="s">
        <v>27</v>
      </c>
      <c r="P347" t="s">
        <v>58</v>
      </c>
      <c r="Q347" t="s">
        <v>164</v>
      </c>
      <c r="R347" t="s">
        <v>165</v>
      </c>
      <c r="S347" t="s">
        <v>1012</v>
      </c>
      <c r="T347" t="str">
        <f>IF(OR(F347="Project - Competitive",F347="Project - Not Competitive"),"New Business","Upsell")</f>
        <v>Upsell</v>
      </c>
      <c r="U347" t="str">
        <f>TEXT(M347,"mm/aaaa")</f>
        <v>12/2026</v>
      </c>
      <c r="V347">
        <f t="shared" si="10"/>
        <v>449</v>
      </c>
      <c r="W347" s="26" t="str">
        <f t="shared" ca="1" si="11"/>
        <v/>
      </c>
    </row>
    <row r="348" spans="1:23">
      <c r="A348" t="s">
        <v>398</v>
      </c>
      <c r="B348" t="s">
        <v>161</v>
      </c>
      <c r="C348" t="s">
        <v>162</v>
      </c>
      <c r="D348" t="s">
        <v>102</v>
      </c>
      <c r="E348" t="s">
        <v>1060</v>
      </c>
      <c r="F348" t="s">
        <v>82</v>
      </c>
      <c r="G348" t="s">
        <v>40</v>
      </c>
      <c r="H348">
        <v>143100</v>
      </c>
      <c r="I348" t="s">
        <v>25</v>
      </c>
      <c r="J348">
        <v>143100</v>
      </c>
      <c r="K348" t="s">
        <v>25</v>
      </c>
      <c r="L348" t="s">
        <v>26</v>
      </c>
      <c r="M348" s="20">
        <v>46053</v>
      </c>
      <c r="N348" s="20">
        <v>46010</v>
      </c>
      <c r="O348" t="s">
        <v>27</v>
      </c>
      <c r="P348" t="s">
        <v>58</v>
      </c>
      <c r="Q348" t="s">
        <v>184</v>
      </c>
      <c r="R348" t="s">
        <v>73</v>
      </c>
      <c r="S348" t="s">
        <v>1012</v>
      </c>
      <c r="T348" t="str">
        <f>IF(OR(F348="Project - Competitive",F348="Project - Not Competitive"),"New Business","Upsell")</f>
        <v>Upsell</v>
      </c>
      <c r="U348" t="str">
        <f>TEXT(M348,"mm/aaaa")</f>
        <v>01/2026</v>
      </c>
      <c r="V348">
        <f t="shared" si="10"/>
        <v>43</v>
      </c>
      <c r="W348" s="26" t="str">
        <f t="shared" ca="1" si="11"/>
        <v/>
      </c>
    </row>
    <row r="349" spans="1:23">
      <c r="A349" t="s">
        <v>179</v>
      </c>
      <c r="B349" t="s">
        <v>180</v>
      </c>
      <c r="C349" t="s">
        <v>181</v>
      </c>
      <c r="D349" t="s">
        <v>126</v>
      </c>
      <c r="E349" t="s">
        <v>182</v>
      </c>
      <c r="F349" t="s">
        <v>82</v>
      </c>
      <c r="G349" t="s">
        <v>40</v>
      </c>
      <c r="H349">
        <v>733504.44</v>
      </c>
      <c r="I349" t="s">
        <v>25</v>
      </c>
      <c r="J349">
        <v>733504.44</v>
      </c>
      <c r="K349" t="s">
        <v>25</v>
      </c>
      <c r="L349" t="s">
        <v>26</v>
      </c>
      <c r="M349" s="20">
        <v>46357</v>
      </c>
      <c r="N349" s="20">
        <v>45946</v>
      </c>
      <c r="O349" t="s">
        <v>27</v>
      </c>
      <c r="P349" t="s">
        <v>1018</v>
      </c>
      <c r="Q349" t="s">
        <v>51</v>
      </c>
      <c r="R349" t="s">
        <v>29</v>
      </c>
      <c r="S349" t="s">
        <v>1012</v>
      </c>
      <c r="T349" t="str">
        <f>IF(OR(F349="Project - Competitive",F349="Project - Not Competitive"),"New Business","Upsell")</f>
        <v>Upsell</v>
      </c>
      <c r="U349" t="str">
        <f>TEXT(M349,"mm/aaaa")</f>
        <v>12/2026</v>
      </c>
      <c r="V349">
        <f t="shared" si="10"/>
        <v>411</v>
      </c>
      <c r="W349" s="26" t="str">
        <f t="shared" ca="1" si="11"/>
        <v/>
      </c>
    </row>
    <row r="350" spans="1:23">
      <c r="A350" t="s">
        <v>681</v>
      </c>
      <c r="B350" t="s">
        <v>115</v>
      </c>
      <c r="C350" t="s">
        <v>116</v>
      </c>
      <c r="D350" t="s">
        <v>117</v>
      </c>
      <c r="E350" t="s">
        <v>682</v>
      </c>
      <c r="F350" t="s">
        <v>23</v>
      </c>
      <c r="G350" t="s">
        <v>40</v>
      </c>
      <c r="H350">
        <v>274209.96999999997</v>
      </c>
      <c r="I350" t="s">
        <v>25</v>
      </c>
      <c r="J350">
        <v>184049.73</v>
      </c>
      <c r="K350" t="s">
        <v>25</v>
      </c>
      <c r="L350" t="s">
        <v>26</v>
      </c>
      <c r="M350" s="20">
        <v>46145</v>
      </c>
      <c r="N350" s="20">
        <v>46145</v>
      </c>
      <c r="O350" t="s">
        <v>27</v>
      </c>
      <c r="P350" t="s">
        <v>58</v>
      </c>
      <c r="Q350" t="s">
        <v>480</v>
      </c>
      <c r="R350" t="s">
        <v>73</v>
      </c>
      <c r="S350" t="s">
        <v>1012</v>
      </c>
      <c r="T350" t="str">
        <f>IF(OR(F350="Project - Competitive",F350="Project - Not Competitive"),"New Business","Upsell")</f>
        <v>Upsell</v>
      </c>
      <c r="U350" t="str">
        <f>TEXT(M350,"mm/aaaa")</f>
        <v>05/2026</v>
      </c>
      <c r="V350" t="str">
        <f t="shared" si="10"/>
        <v/>
      </c>
      <c r="W350" s="26" t="str">
        <f t="shared" ca="1" si="11"/>
        <v/>
      </c>
    </row>
    <row r="351" spans="1:23">
      <c r="A351" t="s">
        <v>679</v>
      </c>
      <c r="B351" t="s">
        <v>115</v>
      </c>
      <c r="C351" t="s">
        <v>116</v>
      </c>
      <c r="D351" t="s">
        <v>117</v>
      </c>
      <c r="E351" t="s">
        <v>680</v>
      </c>
      <c r="F351" t="s">
        <v>82</v>
      </c>
      <c r="G351" t="s">
        <v>40</v>
      </c>
      <c r="H351">
        <v>440332.96</v>
      </c>
      <c r="I351" t="s">
        <v>25</v>
      </c>
      <c r="J351">
        <v>440332.96</v>
      </c>
      <c r="K351" t="s">
        <v>25</v>
      </c>
      <c r="L351" t="s">
        <v>26</v>
      </c>
      <c r="M351" s="20">
        <v>46145</v>
      </c>
      <c r="N351" s="20">
        <v>46145</v>
      </c>
      <c r="O351" t="s">
        <v>27</v>
      </c>
      <c r="P351" t="s">
        <v>58</v>
      </c>
      <c r="Q351" t="s">
        <v>480</v>
      </c>
      <c r="R351" t="s">
        <v>29</v>
      </c>
      <c r="S351" t="s">
        <v>1012</v>
      </c>
      <c r="T351" t="str">
        <f>IF(OR(F351="Project - Competitive",F351="Project - Not Competitive"),"New Business","Upsell")</f>
        <v>Upsell</v>
      </c>
      <c r="U351" t="str">
        <f>TEXT(M351,"mm/aaaa")</f>
        <v>05/2026</v>
      </c>
      <c r="V351" t="str">
        <f t="shared" si="10"/>
        <v/>
      </c>
      <c r="W351" s="26" t="str">
        <f t="shared" ca="1" si="11"/>
        <v/>
      </c>
    </row>
    <row r="352" spans="1:23">
      <c r="A352" t="s">
        <v>264</v>
      </c>
      <c r="B352" t="s">
        <v>138</v>
      </c>
      <c r="C352" t="s">
        <v>139</v>
      </c>
      <c r="D352" t="s">
        <v>70</v>
      </c>
      <c r="E352" t="s">
        <v>142</v>
      </c>
      <c r="F352" t="s">
        <v>23</v>
      </c>
      <c r="G352" t="s">
        <v>40</v>
      </c>
      <c r="H352">
        <v>2518147.83</v>
      </c>
      <c r="I352" t="s">
        <v>25</v>
      </c>
      <c r="J352">
        <v>1321676.1499999999</v>
      </c>
      <c r="K352" t="s">
        <v>25</v>
      </c>
      <c r="L352" t="s">
        <v>26</v>
      </c>
      <c r="M352" s="20">
        <v>46357</v>
      </c>
      <c r="N352" s="20">
        <v>45975</v>
      </c>
      <c r="O352" t="s">
        <v>27</v>
      </c>
      <c r="P352" t="s">
        <v>1018</v>
      </c>
      <c r="Q352" t="s">
        <v>51</v>
      </c>
      <c r="R352" t="s">
        <v>29</v>
      </c>
      <c r="S352" t="s">
        <v>1012</v>
      </c>
      <c r="T352" t="str">
        <f>IF(OR(F352="Project - Competitive",F352="Project - Not Competitive"),"New Business","Upsell")</f>
        <v>Upsell</v>
      </c>
      <c r="U352" t="str">
        <f>TEXT(M352,"mm/aaaa")</f>
        <v>12/2026</v>
      </c>
      <c r="V352">
        <f t="shared" si="10"/>
        <v>382</v>
      </c>
      <c r="W352" s="26" t="str">
        <f t="shared" ca="1" si="11"/>
        <v/>
      </c>
    </row>
    <row r="353" spans="1:23">
      <c r="A353" t="s">
        <v>391</v>
      </c>
      <c r="B353" t="s">
        <v>138</v>
      </c>
      <c r="C353" t="s">
        <v>139</v>
      </c>
      <c r="D353" t="s">
        <v>70</v>
      </c>
      <c r="E353" t="s">
        <v>140</v>
      </c>
      <c r="F353" t="s">
        <v>82</v>
      </c>
      <c r="G353" t="s">
        <v>40</v>
      </c>
      <c r="H353">
        <v>6770269.9100000001</v>
      </c>
      <c r="I353" t="s">
        <v>25</v>
      </c>
      <c r="J353">
        <v>3986192.66</v>
      </c>
      <c r="K353" t="s">
        <v>25</v>
      </c>
      <c r="L353" t="s">
        <v>26</v>
      </c>
      <c r="M353" s="20">
        <v>46049</v>
      </c>
      <c r="N353" s="20">
        <v>46006</v>
      </c>
      <c r="O353" t="s">
        <v>27</v>
      </c>
      <c r="P353" t="s">
        <v>1018</v>
      </c>
      <c r="Q353" t="s">
        <v>306</v>
      </c>
      <c r="R353" t="s">
        <v>29</v>
      </c>
      <c r="S353" t="s">
        <v>1012</v>
      </c>
      <c r="T353" t="str">
        <f>IF(OR(F353="Project - Competitive",F353="Project - Not Competitive"),"New Business","Upsell")</f>
        <v>Upsell</v>
      </c>
      <c r="U353" t="str">
        <f>TEXT(M353,"mm/aaaa")</f>
        <v>01/2026</v>
      </c>
      <c r="V353">
        <f t="shared" si="10"/>
        <v>43</v>
      </c>
      <c r="W353" s="26" t="str">
        <f t="shared" ca="1" si="11"/>
        <v/>
      </c>
    </row>
    <row r="354" spans="1:23">
      <c r="A354" t="s">
        <v>391</v>
      </c>
      <c r="B354" t="s">
        <v>138</v>
      </c>
      <c r="C354" t="s">
        <v>139</v>
      </c>
      <c r="D354" t="s">
        <v>70</v>
      </c>
      <c r="E354" t="s">
        <v>142</v>
      </c>
      <c r="F354" t="s">
        <v>82</v>
      </c>
      <c r="G354" t="s">
        <v>40</v>
      </c>
      <c r="H354">
        <v>6770269.9100000001</v>
      </c>
      <c r="I354" t="s">
        <v>25</v>
      </c>
      <c r="J354">
        <v>272925.34999999998</v>
      </c>
      <c r="K354" t="s">
        <v>25</v>
      </c>
      <c r="L354" t="s">
        <v>26</v>
      </c>
      <c r="M354" s="20">
        <v>46049</v>
      </c>
      <c r="N354" s="20">
        <v>46006</v>
      </c>
      <c r="O354" t="s">
        <v>27</v>
      </c>
      <c r="P354" t="s">
        <v>1018</v>
      </c>
      <c r="Q354" t="s">
        <v>306</v>
      </c>
      <c r="R354" t="s">
        <v>29</v>
      </c>
      <c r="S354" t="s">
        <v>1012</v>
      </c>
      <c r="T354" t="str">
        <f>IF(OR(F354="Project - Competitive",F354="Project - Not Competitive"),"New Business","Upsell")</f>
        <v>Upsell</v>
      </c>
      <c r="U354" t="str">
        <f>TEXT(M354,"mm/aaaa")</f>
        <v>01/2026</v>
      </c>
      <c r="V354">
        <f t="shared" si="10"/>
        <v>43</v>
      </c>
      <c r="W354" s="26" t="str">
        <f t="shared" ca="1" si="11"/>
        <v/>
      </c>
    </row>
    <row r="355" spans="1:23">
      <c r="A355" t="s">
        <v>213</v>
      </c>
      <c r="B355" t="s">
        <v>138</v>
      </c>
      <c r="C355" t="s">
        <v>139</v>
      </c>
      <c r="D355" t="s">
        <v>70</v>
      </c>
      <c r="E355" t="s">
        <v>140</v>
      </c>
      <c r="F355" t="s">
        <v>23</v>
      </c>
      <c r="G355" t="s">
        <v>40</v>
      </c>
      <c r="H355">
        <v>722935.92</v>
      </c>
      <c r="I355" t="s">
        <v>25</v>
      </c>
      <c r="J355">
        <v>607803.12</v>
      </c>
      <c r="K355" t="s">
        <v>25</v>
      </c>
      <c r="L355" t="s">
        <v>26</v>
      </c>
      <c r="M355" s="20">
        <v>46143</v>
      </c>
      <c r="N355" s="20">
        <v>45959</v>
      </c>
      <c r="O355" t="s">
        <v>27</v>
      </c>
      <c r="P355" t="s">
        <v>1018</v>
      </c>
      <c r="Q355" t="s">
        <v>141</v>
      </c>
      <c r="R355" t="s">
        <v>29</v>
      </c>
      <c r="S355" t="s">
        <v>1012</v>
      </c>
      <c r="T355" t="str">
        <f>IF(OR(F355="Project - Competitive",F355="Project - Not Competitive"),"New Business","Upsell")</f>
        <v>Upsell</v>
      </c>
      <c r="U355" t="str">
        <f>TEXT(M355,"mm/aaaa")</f>
        <v>05/2026</v>
      </c>
      <c r="V355">
        <f t="shared" si="10"/>
        <v>184</v>
      </c>
      <c r="W355" s="26" t="str">
        <f t="shared" ca="1" si="11"/>
        <v/>
      </c>
    </row>
    <row r="356" spans="1:23">
      <c r="A356" t="s">
        <v>895</v>
      </c>
      <c r="B356" t="s">
        <v>138</v>
      </c>
      <c r="C356" t="s">
        <v>139</v>
      </c>
      <c r="D356" t="s">
        <v>70</v>
      </c>
      <c r="E356" t="s">
        <v>773</v>
      </c>
      <c r="F356" t="s">
        <v>23</v>
      </c>
      <c r="G356" t="s">
        <v>330</v>
      </c>
      <c r="H356">
        <v>706759.68000000005</v>
      </c>
      <c r="I356" t="s">
        <v>25</v>
      </c>
      <c r="J356">
        <v>706759.68000000005</v>
      </c>
      <c r="K356" t="s">
        <v>25</v>
      </c>
      <c r="L356" t="s">
        <v>26</v>
      </c>
      <c r="M356" s="20">
        <v>46203</v>
      </c>
      <c r="N356" s="20">
        <v>46177</v>
      </c>
      <c r="O356" t="s">
        <v>872</v>
      </c>
      <c r="P356" t="s">
        <v>1018</v>
      </c>
      <c r="Q356" t="s">
        <v>106</v>
      </c>
      <c r="R356" t="s">
        <v>29</v>
      </c>
      <c r="S356" t="s">
        <v>1012</v>
      </c>
      <c r="T356" t="str">
        <f>IF(OR(F356="Project - Competitive",F356="Project - Not Competitive"),"New Business","Upsell")</f>
        <v>Upsell</v>
      </c>
      <c r="U356" t="str">
        <f>TEXT(M356,"mm/aaaa")</f>
        <v>06/2026</v>
      </c>
      <c r="V356" t="str">
        <f t="shared" si="10"/>
        <v/>
      </c>
      <c r="W356" s="26">
        <f t="shared" ca="1" si="11"/>
        <v>0</v>
      </c>
    </row>
    <row r="357" spans="1:23">
      <c r="A357" t="s">
        <v>476</v>
      </c>
      <c r="B357" t="s">
        <v>138</v>
      </c>
      <c r="C357" t="s">
        <v>139</v>
      </c>
      <c r="D357" t="s">
        <v>70</v>
      </c>
      <c r="E357" t="s">
        <v>896</v>
      </c>
      <c r="F357" t="s">
        <v>82</v>
      </c>
      <c r="G357" t="s">
        <v>40</v>
      </c>
      <c r="H357">
        <v>299999.59999999998</v>
      </c>
      <c r="I357" t="s">
        <v>25</v>
      </c>
      <c r="J357">
        <v>299999.59999999998</v>
      </c>
      <c r="K357" t="s">
        <v>25</v>
      </c>
      <c r="L357" t="s">
        <v>26</v>
      </c>
      <c r="M357" s="20">
        <v>46104</v>
      </c>
      <c r="N357" s="20">
        <v>46044</v>
      </c>
      <c r="O357" t="s">
        <v>27</v>
      </c>
      <c r="P357" t="s">
        <v>1018</v>
      </c>
      <c r="Q357" t="s">
        <v>315</v>
      </c>
      <c r="R357" t="s">
        <v>29</v>
      </c>
      <c r="S357" t="s">
        <v>1012</v>
      </c>
      <c r="T357" t="str">
        <f>IF(OR(F357="Project - Competitive",F357="Project - Not Competitive"),"New Business","Upsell")</f>
        <v>Upsell</v>
      </c>
      <c r="U357" t="str">
        <f>TEXT(M357,"mm/aaaa")</f>
        <v>03/2026</v>
      </c>
      <c r="V357">
        <f t="shared" si="10"/>
        <v>60</v>
      </c>
      <c r="W357" s="26" t="str">
        <f t="shared" ca="1" si="11"/>
        <v/>
      </c>
    </row>
    <row r="358" spans="1:23">
      <c r="A358" t="s">
        <v>889</v>
      </c>
      <c r="B358" t="s">
        <v>529</v>
      </c>
      <c r="C358" t="s">
        <v>530</v>
      </c>
      <c r="D358" t="s">
        <v>175</v>
      </c>
      <c r="E358" t="s">
        <v>534</v>
      </c>
      <c r="F358" t="s">
        <v>23</v>
      </c>
      <c r="G358" t="s">
        <v>330</v>
      </c>
      <c r="H358">
        <v>173729.16</v>
      </c>
      <c r="I358" t="s">
        <v>25</v>
      </c>
      <c r="J358">
        <v>173729.16</v>
      </c>
      <c r="K358" t="s">
        <v>25</v>
      </c>
      <c r="L358" t="s">
        <v>26</v>
      </c>
      <c r="M358" s="20">
        <v>46171</v>
      </c>
      <c r="N358" s="20">
        <v>46057</v>
      </c>
      <c r="O358" t="s">
        <v>314</v>
      </c>
      <c r="P358" t="s">
        <v>58</v>
      </c>
      <c r="Q358" t="s">
        <v>165</v>
      </c>
      <c r="R358" t="s">
        <v>29</v>
      </c>
      <c r="S358" t="s">
        <v>1016</v>
      </c>
      <c r="T358" t="str">
        <f>IF(OR(F358="Project - Competitive",F358="Project - Not Competitive"),"New Business","Upsell")</f>
        <v>Upsell</v>
      </c>
      <c r="U358" t="str">
        <f>TEXT(M358,"mm/aaaa")</f>
        <v>05/2026</v>
      </c>
      <c r="V358" t="str">
        <f t="shared" si="10"/>
        <v/>
      </c>
      <c r="W358" s="26">
        <f t="shared" ca="1" si="11"/>
        <v>81</v>
      </c>
    </row>
    <row r="359" spans="1:23">
      <c r="A359" t="s">
        <v>166</v>
      </c>
      <c r="B359" t="s">
        <v>167</v>
      </c>
      <c r="C359" t="s">
        <v>168</v>
      </c>
      <c r="D359" t="s">
        <v>117</v>
      </c>
      <c r="E359" t="s">
        <v>169</v>
      </c>
      <c r="F359" t="s">
        <v>82</v>
      </c>
      <c r="G359" t="s">
        <v>40</v>
      </c>
      <c r="H359">
        <v>1758176.04</v>
      </c>
      <c r="I359" t="s">
        <v>25</v>
      </c>
      <c r="J359">
        <v>1310372.04</v>
      </c>
      <c r="K359" t="s">
        <v>25</v>
      </c>
      <c r="L359" t="s">
        <v>26</v>
      </c>
      <c r="M359" s="20">
        <v>46268</v>
      </c>
      <c r="N359" s="20">
        <v>45910</v>
      </c>
      <c r="O359" t="s">
        <v>27</v>
      </c>
      <c r="P359" t="s">
        <v>58</v>
      </c>
      <c r="Q359" t="s">
        <v>105</v>
      </c>
      <c r="R359" t="s">
        <v>29</v>
      </c>
      <c r="S359" t="s">
        <v>1012</v>
      </c>
      <c r="T359" t="str">
        <f>IF(OR(F359="Project - Competitive",F359="Project - Not Competitive"),"New Business","Upsell")</f>
        <v>Upsell</v>
      </c>
      <c r="U359" t="str">
        <f>TEXT(M359,"mm/aaaa")</f>
        <v>09/2026</v>
      </c>
      <c r="V359">
        <f t="shared" si="10"/>
        <v>358</v>
      </c>
      <c r="W359" s="26" t="str">
        <f t="shared" ca="1" si="11"/>
        <v/>
      </c>
    </row>
    <row r="360" spans="1:23" ht="14.4" customHeight="1">
      <c r="A360" t="s">
        <v>473</v>
      </c>
      <c r="B360" t="s">
        <v>167</v>
      </c>
      <c r="C360" t="s">
        <v>168</v>
      </c>
      <c r="D360" t="s">
        <v>117</v>
      </c>
      <c r="E360" t="s">
        <v>169</v>
      </c>
      <c r="F360" t="s">
        <v>23</v>
      </c>
      <c r="G360" t="s">
        <v>40</v>
      </c>
      <c r="H360">
        <v>157479.96</v>
      </c>
      <c r="I360" t="s">
        <v>25</v>
      </c>
      <c r="J360">
        <v>157479.96</v>
      </c>
      <c r="K360" t="s">
        <v>25</v>
      </c>
      <c r="L360" t="s">
        <v>26</v>
      </c>
      <c r="M360" s="20">
        <v>46268</v>
      </c>
      <c r="N360" s="20">
        <v>46043</v>
      </c>
      <c r="O360" t="s">
        <v>27</v>
      </c>
      <c r="P360" t="s">
        <v>58</v>
      </c>
      <c r="Q360" t="s">
        <v>105</v>
      </c>
      <c r="R360" t="s">
        <v>29</v>
      </c>
      <c r="S360" t="s">
        <v>1012</v>
      </c>
      <c r="T360" t="str">
        <f>IF(OR(F360="Project - Competitive",F360="Project - Not Competitive"),"New Business","Upsell")</f>
        <v>Upsell</v>
      </c>
      <c r="U360" t="str">
        <f>TEXT(M360,"mm/aaaa")</f>
        <v>09/2026</v>
      </c>
      <c r="V360">
        <f t="shared" si="10"/>
        <v>225</v>
      </c>
      <c r="W360" s="26" t="str">
        <f t="shared" ca="1" si="11"/>
        <v/>
      </c>
    </row>
    <row r="361" spans="1:23" ht="14.4" customHeight="1">
      <c r="A361" t="s">
        <v>791</v>
      </c>
      <c r="B361" t="s">
        <v>792</v>
      </c>
      <c r="C361" t="s">
        <v>793</v>
      </c>
      <c r="D361" t="s">
        <v>298</v>
      </c>
      <c r="E361" t="s">
        <v>794</v>
      </c>
      <c r="F361" t="s">
        <v>39</v>
      </c>
      <c r="G361" t="s">
        <v>330</v>
      </c>
      <c r="H361">
        <v>1528601.1600000001</v>
      </c>
      <c r="I361" t="s">
        <v>25</v>
      </c>
      <c r="J361">
        <v>960665.16</v>
      </c>
      <c r="K361" t="s">
        <v>25</v>
      </c>
      <c r="L361" t="s">
        <v>26</v>
      </c>
      <c r="M361" s="20">
        <v>46173</v>
      </c>
      <c r="N361" s="20">
        <v>46101</v>
      </c>
      <c r="O361" t="s">
        <v>135</v>
      </c>
      <c r="P361" t="s">
        <v>1018</v>
      </c>
      <c r="Q361" t="s">
        <v>165</v>
      </c>
      <c r="R361" t="s">
        <v>29</v>
      </c>
      <c r="S361" t="s">
        <v>1014</v>
      </c>
      <c r="T361" t="str">
        <f>IF(OR(F361="Project - Competitive",F361="Project - Not Competitive"),"New Business","Upsell")</f>
        <v>New Business</v>
      </c>
      <c r="U361" t="str">
        <f>TEXT(M361,"mm/aaaa")</f>
        <v>05/2026</v>
      </c>
      <c r="V361" t="str">
        <f t="shared" si="10"/>
        <v/>
      </c>
      <c r="W361" s="26">
        <f t="shared" ca="1" si="11"/>
        <v>37</v>
      </c>
    </row>
    <row r="362" spans="1:23">
      <c r="A362" t="s">
        <v>582</v>
      </c>
      <c r="B362" t="s">
        <v>579</v>
      </c>
      <c r="C362" t="s">
        <v>580</v>
      </c>
      <c r="D362" t="s">
        <v>102</v>
      </c>
      <c r="E362" t="s">
        <v>581</v>
      </c>
      <c r="F362" t="s">
        <v>583</v>
      </c>
      <c r="G362" t="s">
        <v>24</v>
      </c>
      <c r="H362">
        <v>72720</v>
      </c>
      <c r="I362" t="s">
        <v>25</v>
      </c>
      <c r="J362">
        <v>72720</v>
      </c>
      <c r="K362" t="s">
        <v>25</v>
      </c>
      <c r="L362" t="s">
        <v>26</v>
      </c>
      <c r="M362" s="20">
        <v>46140</v>
      </c>
      <c r="N362" s="20">
        <v>46066</v>
      </c>
      <c r="O362" t="s">
        <v>584</v>
      </c>
      <c r="P362" t="s">
        <v>1018</v>
      </c>
      <c r="Q362" t="s">
        <v>434</v>
      </c>
      <c r="R362" t="s">
        <v>29</v>
      </c>
      <c r="S362" t="s">
        <v>1014</v>
      </c>
      <c r="T362" t="str">
        <f>IF(OR(F362="Project - Competitive",F362="Project - Not Competitive"),"New Business","Upsell")</f>
        <v>Upsell</v>
      </c>
      <c r="U362" t="str">
        <f>TEXT(M362,"mm/aaaa")</f>
        <v>04/2026</v>
      </c>
      <c r="V362" t="str">
        <f t="shared" si="10"/>
        <v/>
      </c>
      <c r="W362" s="26">
        <f t="shared" ca="1" si="11"/>
        <v>72</v>
      </c>
    </row>
    <row r="363" spans="1:23">
      <c r="A363" t="s">
        <v>578</v>
      </c>
      <c r="B363" t="s">
        <v>579</v>
      </c>
      <c r="C363" t="s">
        <v>580</v>
      </c>
      <c r="D363" t="s">
        <v>102</v>
      </c>
      <c r="E363" t="s">
        <v>581</v>
      </c>
      <c r="F363" t="s">
        <v>23</v>
      </c>
      <c r="G363" t="s">
        <v>24</v>
      </c>
      <c r="H363">
        <v>208391.64</v>
      </c>
      <c r="I363" t="s">
        <v>25</v>
      </c>
      <c r="J363">
        <v>208391.64</v>
      </c>
      <c r="K363" t="s">
        <v>25</v>
      </c>
      <c r="L363" t="s">
        <v>26</v>
      </c>
      <c r="M363" s="20">
        <v>46142</v>
      </c>
      <c r="N363" s="20">
        <v>46066</v>
      </c>
      <c r="O363" t="s">
        <v>27</v>
      </c>
      <c r="P363" t="s">
        <v>1018</v>
      </c>
      <c r="Q363" t="s">
        <v>434</v>
      </c>
      <c r="R363" t="s">
        <v>29</v>
      </c>
      <c r="S363" t="s">
        <v>1012</v>
      </c>
      <c r="T363" t="str">
        <f>IF(OR(F363="Project - Competitive",F363="Project - Not Competitive"),"New Business","Upsell")</f>
        <v>Upsell</v>
      </c>
      <c r="U363" t="str">
        <f>TEXT(M363,"mm/aaaa")</f>
        <v>04/2026</v>
      </c>
      <c r="V363" t="str">
        <f t="shared" si="10"/>
        <v/>
      </c>
      <c r="W363" s="26">
        <f t="shared" ca="1" si="11"/>
        <v>72</v>
      </c>
    </row>
    <row r="364" spans="1:23" ht="14.4" customHeight="1">
      <c r="A364" t="s">
        <v>666</v>
      </c>
      <c r="B364" t="s">
        <v>667</v>
      </c>
      <c r="C364" t="s">
        <v>668</v>
      </c>
      <c r="D364" t="s">
        <v>37</v>
      </c>
      <c r="E364" t="s">
        <v>669</v>
      </c>
      <c r="F364" t="s">
        <v>39</v>
      </c>
      <c r="G364" t="s">
        <v>119</v>
      </c>
      <c r="H364">
        <v>2133050.04</v>
      </c>
      <c r="I364" t="s">
        <v>25</v>
      </c>
      <c r="J364">
        <v>321776.88</v>
      </c>
      <c r="K364" t="s">
        <v>25</v>
      </c>
      <c r="L364" t="s">
        <v>26</v>
      </c>
      <c r="M364" s="20">
        <v>46171</v>
      </c>
      <c r="N364" s="20">
        <v>46084</v>
      </c>
      <c r="O364" t="s">
        <v>135</v>
      </c>
      <c r="P364" t="s">
        <v>58</v>
      </c>
      <c r="Q364" t="s">
        <v>446</v>
      </c>
      <c r="R364" t="s">
        <v>29</v>
      </c>
      <c r="S364" t="s">
        <v>1014</v>
      </c>
      <c r="T364" t="str">
        <f>IF(OR(F364="Project - Competitive",F364="Project - Not Competitive"),"New Business","Upsell")</f>
        <v>New Business</v>
      </c>
      <c r="U364" t="str">
        <f>TEXT(M364,"mm/aaaa")</f>
        <v>05/2026</v>
      </c>
      <c r="V364" t="str">
        <f t="shared" si="10"/>
        <v/>
      </c>
      <c r="W364" s="26">
        <f t="shared" ca="1" si="11"/>
        <v>54</v>
      </c>
    </row>
    <row r="365" spans="1:23" ht="14.4" customHeight="1">
      <c r="A365" t="s">
        <v>859</v>
      </c>
      <c r="B365" t="s">
        <v>860</v>
      </c>
      <c r="C365" t="s">
        <v>861</v>
      </c>
      <c r="D365" t="s">
        <v>132</v>
      </c>
      <c r="E365" t="s">
        <v>862</v>
      </c>
      <c r="F365" t="s">
        <v>39</v>
      </c>
      <c r="G365" t="s">
        <v>24</v>
      </c>
      <c r="H365">
        <v>259731.72</v>
      </c>
      <c r="I365" t="s">
        <v>25</v>
      </c>
      <c r="J365">
        <v>259731.72</v>
      </c>
      <c r="K365" t="s">
        <v>25</v>
      </c>
      <c r="L365" t="s">
        <v>26</v>
      </c>
      <c r="M365" s="20">
        <v>46142</v>
      </c>
      <c r="N365" s="20">
        <v>46112</v>
      </c>
      <c r="O365" t="s">
        <v>50</v>
      </c>
      <c r="P365" t="s">
        <v>58</v>
      </c>
      <c r="Q365" t="s">
        <v>185</v>
      </c>
      <c r="R365" t="s">
        <v>29</v>
      </c>
      <c r="S365" t="s">
        <v>1015</v>
      </c>
      <c r="T365" t="str">
        <f>IF(OR(F365="Project - Competitive",F365="Project - Not Competitive"),"New Business","Upsell")</f>
        <v>New Business</v>
      </c>
      <c r="U365" t="str">
        <f>TEXT(M365,"mm/aaaa")</f>
        <v>04/2026</v>
      </c>
      <c r="V365" t="str">
        <f t="shared" si="10"/>
        <v/>
      </c>
      <c r="W365" s="26">
        <f t="shared" ca="1" si="11"/>
        <v>26</v>
      </c>
    </row>
    <row r="366" spans="1:23">
      <c r="A366" t="s">
        <v>835</v>
      </c>
      <c r="B366" t="s">
        <v>412</v>
      </c>
      <c r="C366" t="s">
        <v>413</v>
      </c>
      <c r="D366" t="s">
        <v>55</v>
      </c>
      <c r="E366" t="s">
        <v>838</v>
      </c>
      <c r="F366" t="s">
        <v>23</v>
      </c>
      <c r="G366" t="s">
        <v>119</v>
      </c>
      <c r="H366">
        <v>838800</v>
      </c>
      <c r="I366" t="s">
        <v>25</v>
      </c>
      <c r="J366">
        <v>198000</v>
      </c>
      <c r="K366" t="s">
        <v>25</v>
      </c>
      <c r="L366" t="s">
        <v>26</v>
      </c>
      <c r="M366" s="20">
        <v>46203</v>
      </c>
      <c r="N366" s="20">
        <v>46111</v>
      </c>
      <c r="O366" t="s">
        <v>554</v>
      </c>
      <c r="P366" t="s">
        <v>58</v>
      </c>
      <c r="Q366" t="s">
        <v>324</v>
      </c>
      <c r="R366" t="s">
        <v>29</v>
      </c>
      <c r="S366" t="s">
        <v>1012</v>
      </c>
      <c r="T366" t="str">
        <f>IF(OR(F366="Project - Competitive",F366="Project - Not Competitive"),"New Business","Upsell")</f>
        <v>Upsell</v>
      </c>
      <c r="U366" t="str">
        <f>TEXT(M366,"mm/aaaa")</f>
        <v>06/2026</v>
      </c>
      <c r="V366" t="str">
        <f t="shared" si="10"/>
        <v/>
      </c>
      <c r="W366" s="26">
        <f t="shared" ca="1" si="11"/>
        <v>27</v>
      </c>
    </row>
    <row r="367" spans="1:23">
      <c r="A367" t="s">
        <v>934</v>
      </c>
      <c r="B367" t="s">
        <v>935</v>
      </c>
      <c r="C367" t="s">
        <v>936</v>
      </c>
      <c r="D367" t="s">
        <v>95</v>
      </c>
      <c r="E367" t="s">
        <v>937</v>
      </c>
      <c r="F367" t="s">
        <v>82</v>
      </c>
      <c r="G367" t="s">
        <v>330</v>
      </c>
      <c r="H367">
        <v>695284.8</v>
      </c>
      <c r="I367" t="s">
        <v>25</v>
      </c>
      <c r="J367">
        <v>354008.4</v>
      </c>
      <c r="K367" t="s">
        <v>25</v>
      </c>
      <c r="L367" t="s">
        <v>26</v>
      </c>
      <c r="M367" s="20">
        <v>46203</v>
      </c>
      <c r="N367" s="20">
        <v>46299</v>
      </c>
      <c r="O367" t="s">
        <v>872</v>
      </c>
      <c r="P367" t="s">
        <v>1018</v>
      </c>
      <c r="Q367" t="s">
        <v>165</v>
      </c>
      <c r="R367" t="s">
        <v>29</v>
      </c>
      <c r="S367" t="s">
        <v>1012</v>
      </c>
      <c r="T367" t="str">
        <f>IF(OR(F367="Project - Competitive",F367="Project - Not Competitive"),"New Business","Upsell")</f>
        <v>Upsell</v>
      </c>
      <c r="U367" t="str">
        <f>TEXT(M367,"mm/aaaa")</f>
        <v>06/2026</v>
      </c>
      <c r="V367" t="str">
        <f t="shared" si="10"/>
        <v/>
      </c>
      <c r="W367" s="26">
        <f t="shared" ca="1" si="11"/>
        <v>0</v>
      </c>
    </row>
    <row r="368" spans="1:23">
      <c r="A368" t="s">
        <v>302</v>
      </c>
      <c r="B368" t="s">
        <v>303</v>
      </c>
      <c r="C368" t="s">
        <v>304</v>
      </c>
      <c r="D368" t="s">
        <v>102</v>
      </c>
      <c r="E368" t="s">
        <v>308</v>
      </c>
      <c r="F368" t="s">
        <v>82</v>
      </c>
      <c r="G368" t="s">
        <v>40</v>
      </c>
      <c r="H368">
        <v>760000</v>
      </c>
      <c r="I368" t="s">
        <v>25</v>
      </c>
      <c r="J368">
        <v>400000</v>
      </c>
      <c r="K368" t="s">
        <v>25</v>
      </c>
      <c r="L368" t="s">
        <v>26</v>
      </c>
      <c r="M368" s="20">
        <v>46049</v>
      </c>
      <c r="N368" s="20">
        <v>45987</v>
      </c>
      <c r="O368" t="s">
        <v>27</v>
      </c>
      <c r="P368" t="s">
        <v>1018</v>
      </c>
      <c r="Q368" t="s">
        <v>306</v>
      </c>
      <c r="R368" t="s">
        <v>29</v>
      </c>
      <c r="S368" t="s">
        <v>1012</v>
      </c>
      <c r="T368" t="str">
        <f>IF(OR(F368="Project - Competitive",F368="Project - Not Competitive"),"New Business","Upsell")</f>
        <v>Upsell</v>
      </c>
      <c r="U368" t="str">
        <f>TEXT(M368,"mm/aaaa")</f>
        <v>01/2026</v>
      </c>
      <c r="V368">
        <f t="shared" si="10"/>
        <v>62</v>
      </c>
      <c r="W368" s="26" t="str">
        <f t="shared" ca="1" si="11"/>
        <v/>
      </c>
    </row>
    <row r="369" spans="1:23">
      <c r="A369" t="s">
        <v>286</v>
      </c>
      <c r="B369" t="s">
        <v>287</v>
      </c>
      <c r="C369" t="s">
        <v>288</v>
      </c>
      <c r="D369" t="s">
        <v>132</v>
      </c>
      <c r="E369" t="s">
        <v>291</v>
      </c>
      <c r="F369" t="s">
        <v>39</v>
      </c>
      <c r="G369" t="s">
        <v>40</v>
      </c>
      <c r="H369">
        <v>195525</v>
      </c>
      <c r="I369" t="s">
        <v>25</v>
      </c>
      <c r="J369">
        <v>57430.080000000002</v>
      </c>
      <c r="K369" t="s">
        <v>25</v>
      </c>
      <c r="L369" t="s">
        <v>26</v>
      </c>
      <c r="M369" s="20">
        <v>46112</v>
      </c>
      <c r="N369" s="20">
        <v>45987</v>
      </c>
      <c r="O369" t="s">
        <v>290</v>
      </c>
      <c r="P369" t="s">
        <v>58</v>
      </c>
      <c r="Q369" t="s">
        <v>83</v>
      </c>
      <c r="R369" t="s">
        <v>185</v>
      </c>
      <c r="S369" t="s">
        <v>1015</v>
      </c>
      <c r="T369" t="str">
        <f>IF(OR(F369="Project - Competitive",F369="Project - Not Competitive"),"New Business","Upsell")</f>
        <v>New Business</v>
      </c>
      <c r="U369" t="str">
        <f>TEXT(M369,"mm/aaaa")</f>
        <v>03/2026</v>
      </c>
      <c r="V369">
        <f t="shared" si="10"/>
        <v>125</v>
      </c>
      <c r="W369" s="26" t="str">
        <f t="shared" ca="1" si="11"/>
        <v/>
      </c>
    </row>
    <row r="370" spans="1:23">
      <c r="A370" t="s">
        <v>718</v>
      </c>
      <c r="B370" t="s">
        <v>719</v>
      </c>
      <c r="C370" t="s">
        <v>720</v>
      </c>
      <c r="D370" t="s">
        <v>203</v>
      </c>
      <c r="E370" t="s">
        <v>721</v>
      </c>
      <c r="F370" t="s">
        <v>39</v>
      </c>
      <c r="G370" t="s">
        <v>66</v>
      </c>
      <c r="H370">
        <v>835250.32000000007</v>
      </c>
      <c r="I370" t="s">
        <v>25</v>
      </c>
      <c r="J370">
        <v>365077.92</v>
      </c>
      <c r="K370" t="s">
        <v>25</v>
      </c>
      <c r="L370" t="s">
        <v>26</v>
      </c>
      <c r="M370" s="20">
        <v>46155</v>
      </c>
      <c r="N370" s="20">
        <v>46329</v>
      </c>
      <c r="O370" t="s">
        <v>50</v>
      </c>
      <c r="P370" t="s">
        <v>1018</v>
      </c>
      <c r="Q370" t="s">
        <v>409</v>
      </c>
      <c r="R370" t="s">
        <v>29</v>
      </c>
      <c r="S370" t="s">
        <v>1015</v>
      </c>
      <c r="T370" t="str">
        <f>IF(OR(F370="Project - Competitive",F370="Project - Not Competitive"),"New Business","Upsell")</f>
        <v>New Business</v>
      </c>
      <c r="U370" t="str">
        <f>TEXT(M370,"mm/aaaa")</f>
        <v>05/2026</v>
      </c>
      <c r="V370" t="str">
        <f t="shared" si="10"/>
        <v/>
      </c>
      <c r="W370" s="26">
        <f t="shared" ca="1" si="11"/>
        <v>0</v>
      </c>
    </row>
    <row r="371" spans="1:23">
      <c r="A371" t="s">
        <v>86</v>
      </c>
      <c r="B371" t="s">
        <v>68</v>
      </c>
      <c r="C371" t="s">
        <v>69</v>
      </c>
      <c r="D371" t="s">
        <v>70</v>
      </c>
      <c r="E371" t="s">
        <v>71</v>
      </c>
      <c r="F371" t="s">
        <v>82</v>
      </c>
      <c r="G371" t="s">
        <v>40</v>
      </c>
      <c r="H371">
        <v>8047338.7199999997</v>
      </c>
      <c r="I371" t="s">
        <v>25</v>
      </c>
      <c r="J371">
        <v>8047338.7199999997</v>
      </c>
      <c r="K371" t="s">
        <v>25</v>
      </c>
      <c r="L371" t="s">
        <v>26</v>
      </c>
      <c r="M371" s="20">
        <v>46080</v>
      </c>
      <c r="N371" s="20">
        <v>45891</v>
      </c>
      <c r="O371" t="s">
        <v>27</v>
      </c>
      <c r="P371" t="s">
        <v>1018</v>
      </c>
      <c r="Q371" t="s">
        <v>88</v>
      </c>
      <c r="R371" t="s">
        <v>29</v>
      </c>
      <c r="S371" t="s">
        <v>1012</v>
      </c>
      <c r="T371" t="str">
        <f>IF(OR(F371="Project - Competitive",F371="Project - Not Competitive"),"New Business","Upsell")</f>
        <v>Upsell</v>
      </c>
      <c r="U371" t="str">
        <f>TEXT(M371,"mm/aaaa")</f>
        <v>02/2026</v>
      </c>
      <c r="V371">
        <f t="shared" si="10"/>
        <v>189</v>
      </c>
      <c r="W371" s="26" t="str">
        <f t="shared" ca="1" si="11"/>
        <v/>
      </c>
    </row>
    <row r="372" spans="1:23">
      <c r="A372" t="s">
        <v>215</v>
      </c>
      <c r="B372" t="s">
        <v>68</v>
      </c>
      <c r="C372" t="s">
        <v>69</v>
      </c>
      <c r="D372" t="s">
        <v>70</v>
      </c>
      <c r="E372" t="s">
        <v>87</v>
      </c>
      <c r="F372" t="s">
        <v>23</v>
      </c>
      <c r="G372" t="s">
        <v>40</v>
      </c>
      <c r="H372">
        <v>3208257.54</v>
      </c>
      <c r="I372" t="s">
        <v>25</v>
      </c>
      <c r="J372">
        <v>3208257.54</v>
      </c>
      <c r="K372" t="s">
        <v>25</v>
      </c>
      <c r="L372" t="s">
        <v>26</v>
      </c>
      <c r="M372" s="20">
        <v>46080</v>
      </c>
      <c r="N372" s="20">
        <v>45960</v>
      </c>
      <c r="O372" t="s">
        <v>27</v>
      </c>
      <c r="P372" t="s">
        <v>1018</v>
      </c>
      <c r="Q372" t="s">
        <v>88</v>
      </c>
      <c r="R372" t="s">
        <v>29</v>
      </c>
      <c r="S372" t="s">
        <v>1012</v>
      </c>
      <c r="T372" t="str">
        <f>IF(OR(F372="Project - Competitive",F372="Project - Not Competitive"),"New Business","Upsell")</f>
        <v>Upsell</v>
      </c>
      <c r="U372" t="str">
        <f>TEXT(M372,"mm/aaaa")</f>
        <v>02/2026</v>
      </c>
      <c r="V372">
        <f t="shared" si="10"/>
        <v>120</v>
      </c>
      <c r="W372" s="26" t="str">
        <f t="shared" ca="1" si="11"/>
        <v/>
      </c>
    </row>
    <row r="373" spans="1:23">
      <c r="A373" t="s">
        <v>266</v>
      </c>
      <c r="B373" t="s">
        <v>68</v>
      </c>
      <c r="C373" t="s">
        <v>69</v>
      </c>
      <c r="D373" t="s">
        <v>70</v>
      </c>
      <c r="E373" t="s">
        <v>87</v>
      </c>
      <c r="F373" t="s">
        <v>82</v>
      </c>
      <c r="G373" t="s">
        <v>40</v>
      </c>
      <c r="H373">
        <v>4260383.32</v>
      </c>
      <c r="I373" t="s">
        <v>25</v>
      </c>
      <c r="J373">
        <v>2863609.66</v>
      </c>
      <c r="K373" t="s">
        <v>25</v>
      </c>
      <c r="L373" t="s">
        <v>26</v>
      </c>
      <c r="M373" s="20">
        <v>46268</v>
      </c>
      <c r="N373" s="20">
        <v>45975</v>
      </c>
      <c r="O373" t="s">
        <v>27</v>
      </c>
      <c r="P373" t="s">
        <v>1018</v>
      </c>
      <c r="Q373" t="s">
        <v>105</v>
      </c>
      <c r="R373" t="s">
        <v>29</v>
      </c>
      <c r="S373" t="s">
        <v>1012</v>
      </c>
      <c r="T373" t="str">
        <f>IF(OR(F373="Project - Competitive",F373="Project - Not Competitive"),"New Business","Upsell")</f>
        <v>Upsell</v>
      </c>
      <c r="U373" t="str">
        <f>TEXT(M373,"mm/aaaa")</f>
        <v>09/2026</v>
      </c>
      <c r="V373">
        <f t="shared" si="10"/>
        <v>293</v>
      </c>
      <c r="W373" s="26" t="str">
        <f t="shared" ca="1" si="11"/>
        <v/>
      </c>
    </row>
    <row r="374" spans="1:23">
      <c r="A374" t="s">
        <v>270</v>
      </c>
      <c r="B374" t="s">
        <v>68</v>
      </c>
      <c r="C374" t="s">
        <v>69</v>
      </c>
      <c r="D374" t="s">
        <v>70</v>
      </c>
      <c r="E374" t="s">
        <v>269</v>
      </c>
      <c r="F374" t="s">
        <v>82</v>
      </c>
      <c r="G374" t="s">
        <v>40</v>
      </c>
      <c r="H374">
        <v>3785206.2099999995</v>
      </c>
      <c r="I374" t="s">
        <v>25</v>
      </c>
      <c r="J374">
        <v>2191904.46</v>
      </c>
      <c r="K374" t="s">
        <v>25</v>
      </c>
      <c r="L374" t="s">
        <v>26</v>
      </c>
      <c r="M374" s="20">
        <v>46066</v>
      </c>
      <c r="N374" s="20">
        <v>45975</v>
      </c>
      <c r="O374" t="s">
        <v>27</v>
      </c>
      <c r="P374" t="s">
        <v>1018</v>
      </c>
      <c r="Q374" t="s">
        <v>271</v>
      </c>
      <c r="R374" t="s">
        <v>29</v>
      </c>
      <c r="S374" t="s">
        <v>1012</v>
      </c>
      <c r="T374" t="str">
        <f>IF(OR(F374="Project - Competitive",F374="Project - Not Competitive"),"New Business","Upsell")</f>
        <v>Upsell</v>
      </c>
      <c r="U374" t="str">
        <f>TEXT(M374,"mm/aaaa")</f>
        <v>02/2026</v>
      </c>
      <c r="V374">
        <f t="shared" si="10"/>
        <v>91</v>
      </c>
      <c r="W374" s="26" t="str">
        <f t="shared" ca="1" si="11"/>
        <v/>
      </c>
    </row>
    <row r="375" spans="1:23" ht="14.4" customHeight="1">
      <c r="A375" t="s">
        <v>349</v>
      </c>
      <c r="B375" t="s">
        <v>68</v>
      </c>
      <c r="C375" t="s">
        <v>69</v>
      </c>
      <c r="D375" t="s">
        <v>70</v>
      </c>
      <c r="E375" t="s">
        <v>267</v>
      </c>
      <c r="F375" t="s">
        <v>82</v>
      </c>
      <c r="G375" t="s">
        <v>40</v>
      </c>
      <c r="H375">
        <v>490082.16</v>
      </c>
      <c r="I375" t="s">
        <v>25</v>
      </c>
      <c r="J375">
        <v>346082.16</v>
      </c>
      <c r="K375" t="s">
        <v>25</v>
      </c>
      <c r="L375" t="s">
        <v>26</v>
      </c>
      <c r="M375" s="20">
        <v>46329</v>
      </c>
      <c r="N375" s="20">
        <v>45700</v>
      </c>
      <c r="O375" t="s">
        <v>27</v>
      </c>
      <c r="P375" t="s">
        <v>1018</v>
      </c>
      <c r="Q375" t="s">
        <v>350</v>
      </c>
      <c r="R375" t="s">
        <v>29</v>
      </c>
      <c r="S375" t="s">
        <v>1012</v>
      </c>
      <c r="T375" t="str">
        <f>IF(OR(F375="Project - Competitive",F375="Project - Not Competitive"),"New Business","Upsell")</f>
        <v>Upsell</v>
      </c>
      <c r="U375" t="str">
        <f>TEXT(M375,"mm/aaaa")</f>
        <v>11/2026</v>
      </c>
      <c r="V375">
        <f t="shared" si="10"/>
        <v>629</v>
      </c>
      <c r="W375" s="26" t="str">
        <f t="shared" ca="1" si="11"/>
        <v/>
      </c>
    </row>
    <row r="376" spans="1:23">
      <c r="A376" t="s">
        <v>438</v>
      </c>
      <c r="B376" t="s">
        <v>68</v>
      </c>
      <c r="C376" t="s">
        <v>69</v>
      </c>
      <c r="D376" t="s">
        <v>70</v>
      </c>
      <c r="E376" t="s">
        <v>417</v>
      </c>
      <c r="F376" t="s">
        <v>23</v>
      </c>
      <c r="G376" t="s">
        <v>40</v>
      </c>
      <c r="H376">
        <v>492000</v>
      </c>
      <c r="I376" t="s">
        <v>25</v>
      </c>
      <c r="J376">
        <v>492000</v>
      </c>
      <c r="K376" t="s">
        <v>25</v>
      </c>
      <c r="L376" t="s">
        <v>26</v>
      </c>
      <c r="M376" s="20">
        <v>46329</v>
      </c>
      <c r="N376" s="20">
        <v>46035</v>
      </c>
      <c r="O376" t="s">
        <v>27</v>
      </c>
      <c r="P376" t="s">
        <v>1018</v>
      </c>
      <c r="Q376" t="s">
        <v>350</v>
      </c>
      <c r="R376" t="s">
        <v>29</v>
      </c>
      <c r="S376" t="s">
        <v>1012</v>
      </c>
      <c r="T376" t="str">
        <f>IF(OR(F376="Project - Competitive",F376="Project - Not Competitive"),"New Business","Upsell")</f>
        <v>Upsell</v>
      </c>
      <c r="U376" t="str">
        <f>TEXT(M376,"mm/aaaa")</f>
        <v>11/2026</v>
      </c>
      <c r="V376">
        <f t="shared" si="10"/>
        <v>294</v>
      </c>
      <c r="W376" s="26" t="str">
        <f t="shared" ca="1" si="11"/>
        <v/>
      </c>
    </row>
    <row r="377" spans="1:23">
      <c r="A377" t="s">
        <v>475</v>
      </c>
      <c r="B377" t="s">
        <v>68</v>
      </c>
      <c r="C377" t="s">
        <v>69</v>
      </c>
      <c r="D377" t="s">
        <v>70</v>
      </c>
      <c r="E377" t="s">
        <v>269</v>
      </c>
      <c r="F377" t="s">
        <v>23</v>
      </c>
      <c r="G377" t="s">
        <v>40</v>
      </c>
      <c r="H377">
        <v>144000</v>
      </c>
      <c r="I377" t="s">
        <v>25</v>
      </c>
      <c r="J377">
        <v>144000</v>
      </c>
      <c r="K377" t="s">
        <v>25</v>
      </c>
      <c r="L377" t="s">
        <v>26</v>
      </c>
      <c r="M377" s="20">
        <v>46066</v>
      </c>
      <c r="N377" s="20">
        <v>46044</v>
      </c>
      <c r="O377" t="s">
        <v>27</v>
      </c>
      <c r="P377" t="s">
        <v>1018</v>
      </c>
      <c r="Q377" t="s">
        <v>271</v>
      </c>
      <c r="R377" t="s">
        <v>29</v>
      </c>
      <c r="S377" t="s">
        <v>1012</v>
      </c>
      <c r="T377" t="str">
        <f>IF(OR(F377="Project - Competitive",F377="Project - Not Competitive"),"New Business","Upsell")</f>
        <v>Upsell</v>
      </c>
      <c r="U377" t="str">
        <f>TEXT(M377,"mm/aaaa")</f>
        <v>02/2026</v>
      </c>
      <c r="V377">
        <f t="shared" si="10"/>
        <v>22</v>
      </c>
      <c r="W377" s="26" t="str">
        <f t="shared" ca="1" si="11"/>
        <v/>
      </c>
    </row>
    <row r="378" spans="1:23">
      <c r="A378" t="s">
        <v>982</v>
      </c>
      <c r="B378" t="s">
        <v>68</v>
      </c>
      <c r="C378" t="s">
        <v>69</v>
      </c>
      <c r="D378" t="s">
        <v>70</v>
      </c>
      <c r="E378" t="s">
        <v>87</v>
      </c>
      <c r="F378" t="s">
        <v>23</v>
      </c>
      <c r="G378" t="s">
        <v>24</v>
      </c>
      <c r="H378">
        <v>111296.52</v>
      </c>
      <c r="I378" t="s">
        <v>25</v>
      </c>
      <c r="J378">
        <v>111296.52</v>
      </c>
      <c r="K378" t="s">
        <v>25</v>
      </c>
      <c r="L378" t="s">
        <v>26</v>
      </c>
      <c r="M378" s="20">
        <v>46155</v>
      </c>
      <c r="N378" s="20">
        <v>46125</v>
      </c>
      <c r="O378" t="s">
        <v>872</v>
      </c>
      <c r="P378" t="s">
        <v>1018</v>
      </c>
      <c r="Q378" t="s">
        <v>73</v>
      </c>
      <c r="R378" t="s">
        <v>29</v>
      </c>
      <c r="S378" t="s">
        <v>1012</v>
      </c>
      <c r="T378" t="str">
        <f>IF(OR(F378="Project - Competitive",F378="Project - Not Competitive"),"New Business","Upsell")</f>
        <v>Upsell</v>
      </c>
      <c r="U378" t="str">
        <f>TEXT(M378,"mm/aaaa")</f>
        <v>05/2026</v>
      </c>
      <c r="V378" t="str">
        <f t="shared" si="10"/>
        <v/>
      </c>
      <c r="W378" s="26">
        <f t="shared" ca="1" si="11"/>
        <v>13</v>
      </c>
    </row>
    <row r="379" spans="1:23" ht="14.4" customHeight="1">
      <c r="A379" t="s">
        <v>749</v>
      </c>
      <c r="B379" t="s">
        <v>68</v>
      </c>
      <c r="C379" t="s">
        <v>69</v>
      </c>
      <c r="D379" t="s">
        <v>70</v>
      </c>
      <c r="E379" t="s">
        <v>267</v>
      </c>
      <c r="F379" t="s">
        <v>82</v>
      </c>
      <c r="G379" t="s">
        <v>24</v>
      </c>
      <c r="H379">
        <v>709465.68</v>
      </c>
      <c r="I379" t="s">
        <v>25</v>
      </c>
      <c r="J379">
        <v>565465.68000000005</v>
      </c>
      <c r="K379" t="s">
        <v>25</v>
      </c>
      <c r="L379" t="s">
        <v>26</v>
      </c>
      <c r="M379" s="20">
        <v>46142</v>
      </c>
      <c r="N379" s="20">
        <v>46359</v>
      </c>
      <c r="O379" t="s">
        <v>27</v>
      </c>
      <c r="P379" t="s">
        <v>1018</v>
      </c>
      <c r="Q379" t="s">
        <v>750</v>
      </c>
      <c r="R379" t="s">
        <v>29</v>
      </c>
      <c r="S379" t="s">
        <v>1012</v>
      </c>
      <c r="T379" t="str">
        <f>IF(OR(F379="Project - Competitive",F379="Project - Not Competitive"),"New Business","Upsell")</f>
        <v>Upsell</v>
      </c>
      <c r="U379" t="str">
        <f>TEXT(M379,"mm/aaaa")</f>
        <v>04/2026</v>
      </c>
      <c r="V379" t="str">
        <f t="shared" si="10"/>
        <v/>
      </c>
      <c r="W379" s="26">
        <f t="shared" ca="1" si="11"/>
        <v>0</v>
      </c>
    </row>
    <row r="380" spans="1:23">
      <c r="A380" t="s">
        <v>549</v>
      </c>
      <c r="B380" t="s">
        <v>68</v>
      </c>
      <c r="C380" t="s">
        <v>69</v>
      </c>
      <c r="D380" t="s">
        <v>70</v>
      </c>
      <c r="E380" t="s">
        <v>751</v>
      </c>
      <c r="F380" t="s">
        <v>23</v>
      </c>
      <c r="G380" t="s">
        <v>40</v>
      </c>
      <c r="H380">
        <v>24501.84</v>
      </c>
      <c r="I380" t="s">
        <v>25</v>
      </c>
      <c r="J380">
        <v>24501.84</v>
      </c>
      <c r="K380" t="s">
        <v>25</v>
      </c>
      <c r="L380" t="s">
        <v>26</v>
      </c>
      <c r="M380" s="20">
        <v>46329</v>
      </c>
      <c r="N380" s="20">
        <v>46297</v>
      </c>
      <c r="O380" t="s">
        <v>27</v>
      </c>
      <c r="P380" t="s">
        <v>1018</v>
      </c>
      <c r="Q380" t="s">
        <v>350</v>
      </c>
      <c r="R380" t="s">
        <v>29</v>
      </c>
      <c r="S380" t="s">
        <v>1012</v>
      </c>
      <c r="T380" t="str">
        <f>IF(OR(F380="Project - Competitive",F380="Project - Not Competitive"),"New Business","Upsell")</f>
        <v>Upsell</v>
      </c>
      <c r="U380" t="str">
        <f>TEXT(M380,"mm/aaaa")</f>
        <v>11/2026</v>
      </c>
      <c r="V380">
        <f t="shared" si="10"/>
        <v>32</v>
      </c>
      <c r="W380" s="26" t="str">
        <f t="shared" ca="1" si="11"/>
        <v/>
      </c>
    </row>
    <row r="381" spans="1:23">
      <c r="A381" t="s">
        <v>423</v>
      </c>
      <c r="B381" t="s">
        <v>68</v>
      </c>
      <c r="C381" t="s">
        <v>69</v>
      </c>
      <c r="D381" t="s">
        <v>70</v>
      </c>
      <c r="E381" t="s">
        <v>821</v>
      </c>
      <c r="F381" t="s">
        <v>23</v>
      </c>
      <c r="G381" t="s">
        <v>40</v>
      </c>
      <c r="H381">
        <v>5000</v>
      </c>
      <c r="I381" t="s">
        <v>25</v>
      </c>
      <c r="J381">
        <v>5000</v>
      </c>
      <c r="K381" t="s">
        <v>25</v>
      </c>
      <c r="L381" t="s">
        <v>26</v>
      </c>
      <c r="M381" s="20">
        <v>46357</v>
      </c>
      <c r="N381" s="20">
        <v>46266</v>
      </c>
      <c r="O381" t="s">
        <v>27</v>
      </c>
      <c r="P381" t="s">
        <v>1005</v>
      </c>
      <c r="Q381" t="s">
        <v>51</v>
      </c>
      <c r="R381" t="s">
        <v>73</v>
      </c>
      <c r="S381" t="s">
        <v>1012</v>
      </c>
      <c r="T381" t="str">
        <f>IF(OR(F381="Project - Competitive",F381="Project - Not Competitive"),"New Business","Upsell")</f>
        <v>Upsell</v>
      </c>
      <c r="U381" t="str">
        <f>TEXT(M381,"mm/aaaa")</f>
        <v>12/2026</v>
      </c>
      <c r="V381">
        <f t="shared" si="10"/>
        <v>91</v>
      </c>
      <c r="W381" s="26" t="str">
        <f t="shared" ca="1" si="11"/>
        <v/>
      </c>
    </row>
    <row r="382" spans="1:23">
      <c r="A382" t="s">
        <v>513</v>
      </c>
      <c r="B382" t="s">
        <v>68</v>
      </c>
      <c r="C382" t="s">
        <v>69</v>
      </c>
      <c r="D382" t="s">
        <v>70</v>
      </c>
      <c r="E382" t="s">
        <v>821</v>
      </c>
      <c r="F382" t="s">
        <v>23</v>
      </c>
      <c r="G382" t="s">
        <v>40</v>
      </c>
      <c r="H382">
        <v>5000</v>
      </c>
      <c r="I382" t="s">
        <v>25</v>
      </c>
      <c r="J382">
        <v>5000</v>
      </c>
      <c r="K382" t="s">
        <v>25</v>
      </c>
      <c r="L382" t="s">
        <v>26</v>
      </c>
      <c r="M382" s="20">
        <v>46072</v>
      </c>
      <c r="N382" s="20">
        <v>46055</v>
      </c>
      <c r="O382" t="s">
        <v>27</v>
      </c>
      <c r="P382" t="s">
        <v>1018</v>
      </c>
      <c r="Q382" t="s">
        <v>344</v>
      </c>
      <c r="R382" t="s">
        <v>73</v>
      </c>
      <c r="S382" t="s">
        <v>1012</v>
      </c>
      <c r="T382" t="str">
        <f>IF(OR(F382="Project - Competitive",F382="Project - Not Competitive"),"New Business","Upsell")</f>
        <v>Upsell</v>
      </c>
      <c r="U382" t="str">
        <f>TEXT(M382,"mm/aaaa")</f>
        <v>02/2026</v>
      </c>
      <c r="V382">
        <f t="shared" si="10"/>
        <v>17</v>
      </c>
      <c r="W382" s="26" t="str">
        <f t="shared" ca="1" si="11"/>
        <v/>
      </c>
    </row>
    <row r="383" spans="1:23">
      <c r="A383" t="s">
        <v>913</v>
      </c>
      <c r="B383" t="s">
        <v>68</v>
      </c>
      <c r="C383" t="s">
        <v>69</v>
      </c>
      <c r="D383" t="s">
        <v>70</v>
      </c>
      <c r="E383" t="s">
        <v>983</v>
      </c>
      <c r="F383" t="s">
        <v>23</v>
      </c>
      <c r="G383" t="s">
        <v>535</v>
      </c>
      <c r="H383">
        <v>0</v>
      </c>
      <c r="I383" t="s">
        <v>25</v>
      </c>
      <c r="J383">
        <v>0</v>
      </c>
      <c r="K383" t="s">
        <v>25</v>
      </c>
      <c r="L383" t="s">
        <v>26</v>
      </c>
      <c r="M383" s="20">
        <v>46203</v>
      </c>
      <c r="N383" s="20">
        <v>46269</v>
      </c>
      <c r="O383" t="s">
        <v>314</v>
      </c>
      <c r="P383" t="s">
        <v>1018</v>
      </c>
      <c r="Q383" t="s">
        <v>324</v>
      </c>
      <c r="R383" t="s">
        <v>29</v>
      </c>
      <c r="S383" t="s">
        <v>1016</v>
      </c>
      <c r="T383" t="str">
        <f>IF(OR(F383="Project - Competitive",F383="Project - Not Competitive"),"New Business","Upsell")</f>
        <v>Upsell</v>
      </c>
      <c r="U383" t="str">
        <f>TEXT(M383,"mm/aaaa")</f>
        <v>06/2026</v>
      </c>
      <c r="V383" t="str">
        <f t="shared" si="10"/>
        <v/>
      </c>
      <c r="W383" s="26">
        <f t="shared" ca="1" si="11"/>
        <v>0</v>
      </c>
    </row>
    <row r="384" spans="1:23">
      <c r="A384" t="s">
        <v>78</v>
      </c>
      <c r="B384" t="s">
        <v>79</v>
      </c>
      <c r="C384" t="s">
        <v>80</v>
      </c>
      <c r="D384" t="s">
        <v>70</v>
      </c>
      <c r="E384" t="s">
        <v>85</v>
      </c>
      <c r="F384" t="s">
        <v>82</v>
      </c>
      <c r="G384" t="s">
        <v>40</v>
      </c>
      <c r="H384">
        <v>2706200.27</v>
      </c>
      <c r="I384" t="s">
        <v>25</v>
      </c>
      <c r="J384">
        <v>145409.64000000001</v>
      </c>
      <c r="K384" t="s">
        <v>25</v>
      </c>
      <c r="L384" t="s">
        <v>26</v>
      </c>
      <c r="M384" s="20">
        <v>46112</v>
      </c>
      <c r="N384" s="20">
        <v>45891</v>
      </c>
      <c r="O384" t="s">
        <v>27</v>
      </c>
      <c r="P384" t="s">
        <v>1018</v>
      </c>
      <c r="Q384" t="s">
        <v>83</v>
      </c>
      <c r="R384" t="s">
        <v>29</v>
      </c>
      <c r="S384" t="s">
        <v>1012</v>
      </c>
      <c r="T384" t="str">
        <f>IF(OR(F384="Project - Competitive",F384="Project - Not Competitive"),"New Business","Upsell")</f>
        <v>Upsell</v>
      </c>
      <c r="U384" t="str">
        <f>TEXT(M384,"mm/aaaa")</f>
        <v>03/2026</v>
      </c>
      <c r="V384">
        <f t="shared" si="10"/>
        <v>221</v>
      </c>
      <c r="W384" s="26" t="str">
        <f t="shared" ca="1" si="11"/>
        <v/>
      </c>
    </row>
    <row r="385" spans="1:23">
      <c r="A385" t="s">
        <v>78</v>
      </c>
      <c r="B385" t="s">
        <v>79</v>
      </c>
      <c r="C385" t="s">
        <v>80</v>
      </c>
      <c r="D385" t="s">
        <v>70</v>
      </c>
      <c r="E385" t="s">
        <v>85</v>
      </c>
      <c r="F385" t="s">
        <v>82</v>
      </c>
      <c r="G385" t="s">
        <v>40</v>
      </c>
      <c r="H385">
        <v>2706200.27</v>
      </c>
      <c r="I385" t="s">
        <v>25</v>
      </c>
      <c r="J385">
        <v>1917154.65</v>
      </c>
      <c r="K385" t="s">
        <v>25</v>
      </c>
      <c r="L385" t="s">
        <v>26</v>
      </c>
      <c r="M385" s="20">
        <v>46112</v>
      </c>
      <c r="N385" s="20">
        <v>45891</v>
      </c>
      <c r="O385" t="s">
        <v>27</v>
      </c>
      <c r="P385" t="s">
        <v>1018</v>
      </c>
      <c r="Q385" t="s">
        <v>83</v>
      </c>
      <c r="R385" t="s">
        <v>29</v>
      </c>
      <c r="S385" t="s">
        <v>1012</v>
      </c>
      <c r="T385" t="str">
        <f>IF(OR(F385="Project - Competitive",F385="Project - Not Competitive"),"New Business","Upsell")</f>
        <v>Upsell</v>
      </c>
      <c r="U385" t="str">
        <f>TEXT(M385,"mm/aaaa")</f>
        <v>03/2026</v>
      </c>
      <c r="V385">
        <f t="shared" si="10"/>
        <v>221</v>
      </c>
      <c r="W385" s="26" t="str">
        <f t="shared" ca="1" si="11"/>
        <v/>
      </c>
    </row>
    <row r="386" spans="1:23">
      <c r="A386" t="s">
        <v>921</v>
      </c>
      <c r="B386" t="s">
        <v>79</v>
      </c>
      <c r="C386" t="s">
        <v>80</v>
      </c>
      <c r="D386" t="s">
        <v>70</v>
      </c>
      <c r="E386" t="s">
        <v>85</v>
      </c>
      <c r="F386" t="s">
        <v>23</v>
      </c>
      <c r="G386" t="s">
        <v>66</v>
      </c>
      <c r="H386">
        <v>260250.72</v>
      </c>
      <c r="I386" t="s">
        <v>25</v>
      </c>
      <c r="J386">
        <v>260250.72</v>
      </c>
      <c r="K386" t="s">
        <v>25</v>
      </c>
      <c r="L386" t="s">
        <v>26</v>
      </c>
      <c r="M386" s="20">
        <v>46203</v>
      </c>
      <c r="N386" s="20">
        <v>46269</v>
      </c>
      <c r="O386" t="s">
        <v>872</v>
      </c>
      <c r="P386" t="s">
        <v>1018</v>
      </c>
      <c r="Q386" t="s">
        <v>324</v>
      </c>
      <c r="R386" t="s">
        <v>29</v>
      </c>
      <c r="S386" t="s">
        <v>1012</v>
      </c>
      <c r="T386" t="str">
        <f>IF(OR(F386="Project - Competitive",F386="Project - Not Competitive"),"New Business","Upsell")</f>
        <v>Upsell</v>
      </c>
      <c r="U386" t="str">
        <f>TEXT(M386,"mm/aaaa")</f>
        <v>06/2026</v>
      </c>
      <c r="V386" t="str">
        <f t="shared" si="10"/>
        <v/>
      </c>
      <c r="W386" s="26">
        <f t="shared" ca="1" si="11"/>
        <v>0</v>
      </c>
    </row>
    <row r="387" spans="1:23">
      <c r="A387" t="s">
        <v>474</v>
      </c>
      <c r="B387" t="s">
        <v>79</v>
      </c>
      <c r="C387" t="s">
        <v>80</v>
      </c>
      <c r="D387" t="s">
        <v>328</v>
      </c>
      <c r="E387" t="s">
        <v>85</v>
      </c>
      <c r="F387" t="s">
        <v>23</v>
      </c>
      <c r="G387" t="s">
        <v>40</v>
      </c>
      <c r="H387">
        <v>65038.05</v>
      </c>
      <c r="I387" t="s">
        <v>25</v>
      </c>
      <c r="J387">
        <v>65038.05</v>
      </c>
      <c r="K387" t="s">
        <v>25</v>
      </c>
      <c r="L387" t="s">
        <v>26</v>
      </c>
      <c r="M387" s="20">
        <v>46112</v>
      </c>
      <c r="N387" s="20">
        <v>46044</v>
      </c>
      <c r="O387" t="s">
        <v>27</v>
      </c>
      <c r="P387" t="s">
        <v>1018</v>
      </c>
      <c r="Q387" t="s">
        <v>83</v>
      </c>
      <c r="R387" t="s">
        <v>185</v>
      </c>
      <c r="S387" t="s">
        <v>1012</v>
      </c>
      <c r="T387" t="str">
        <f>IF(OR(F387="Project - Competitive",F387="Project - Not Competitive"),"New Business","Upsell")</f>
        <v>Upsell</v>
      </c>
      <c r="U387" t="str">
        <f>TEXT(M387,"mm/aaaa")</f>
        <v>03/2026</v>
      </c>
      <c r="V387">
        <f t="shared" ref="V387:V414" si="12">IF(AND(G387="Closed Won",M387&gt;N387),M387-N387,"")</f>
        <v>68</v>
      </c>
      <c r="W387" s="26" t="str">
        <f t="shared" ref="W387:W414" ca="1" si="13">IF(G387&lt;&gt;"Closed Won",MAX(0,TODAY()-N387),"")</f>
        <v/>
      </c>
    </row>
    <row r="388" spans="1:23">
      <c r="A388" t="s">
        <v>807</v>
      </c>
      <c r="B388" t="s">
        <v>79</v>
      </c>
      <c r="C388" t="s">
        <v>80</v>
      </c>
      <c r="D388" t="s">
        <v>70</v>
      </c>
      <c r="E388" t="s">
        <v>869</v>
      </c>
      <c r="F388" t="s">
        <v>23</v>
      </c>
      <c r="G388" t="s">
        <v>40</v>
      </c>
      <c r="H388">
        <v>44271</v>
      </c>
      <c r="I388" t="s">
        <v>25</v>
      </c>
      <c r="J388">
        <v>44271</v>
      </c>
      <c r="K388" t="s">
        <v>25</v>
      </c>
      <c r="L388" t="s">
        <v>26</v>
      </c>
      <c r="M388" s="20">
        <v>46112</v>
      </c>
      <c r="N388" s="20">
        <v>46106</v>
      </c>
      <c r="O388" t="s">
        <v>27</v>
      </c>
      <c r="P388" t="s">
        <v>1018</v>
      </c>
      <c r="Q388" t="s">
        <v>83</v>
      </c>
      <c r="R388" t="s">
        <v>185</v>
      </c>
      <c r="S388" t="s">
        <v>1012</v>
      </c>
      <c r="T388" t="str">
        <f>IF(OR(F388="Project - Competitive",F388="Project - Not Competitive"),"New Business","Upsell")</f>
        <v>Upsell</v>
      </c>
      <c r="U388" t="str">
        <f>TEXT(M388,"mm/aaaa")</f>
        <v>03/2026</v>
      </c>
      <c r="V388">
        <f t="shared" si="12"/>
        <v>6</v>
      </c>
      <c r="W388" s="26" t="str">
        <f t="shared" ca="1" si="13"/>
        <v/>
      </c>
    </row>
    <row r="389" spans="1:23">
      <c r="A389" t="s">
        <v>868</v>
      </c>
      <c r="B389" t="s">
        <v>79</v>
      </c>
      <c r="C389" t="s">
        <v>80</v>
      </c>
      <c r="D389" t="s">
        <v>328</v>
      </c>
      <c r="E389" t="s">
        <v>922</v>
      </c>
      <c r="F389" t="s">
        <v>82</v>
      </c>
      <c r="G389" t="s">
        <v>66</v>
      </c>
      <c r="H389">
        <v>8049213.7800000003</v>
      </c>
      <c r="I389" t="s">
        <v>25</v>
      </c>
      <c r="J389">
        <v>8049213.7800000003</v>
      </c>
      <c r="K389" t="s">
        <v>25</v>
      </c>
      <c r="L389" t="s">
        <v>26</v>
      </c>
      <c r="M389" s="20">
        <v>46142</v>
      </c>
      <c r="N389" s="20">
        <v>46112</v>
      </c>
      <c r="O389" t="s">
        <v>27</v>
      </c>
      <c r="P389" t="s">
        <v>1018</v>
      </c>
      <c r="Q389" t="s">
        <v>324</v>
      </c>
      <c r="R389" t="s">
        <v>29</v>
      </c>
      <c r="S389" t="s">
        <v>1012</v>
      </c>
      <c r="T389" t="str">
        <f>IF(OR(F389="Project - Competitive",F389="Project - Not Competitive"),"New Business","Upsell")</f>
        <v>Upsell</v>
      </c>
      <c r="U389" t="str">
        <f>TEXT(M389,"mm/aaaa")</f>
        <v>04/2026</v>
      </c>
      <c r="V389" t="str">
        <f t="shared" si="12"/>
        <v/>
      </c>
      <c r="W389" s="26">
        <f t="shared" ca="1" si="13"/>
        <v>26</v>
      </c>
    </row>
    <row r="390" spans="1:23">
      <c r="A390" t="s">
        <v>452</v>
      </c>
      <c r="B390" t="s">
        <v>453</v>
      </c>
      <c r="C390" t="s">
        <v>454</v>
      </c>
      <c r="D390" t="s">
        <v>47</v>
      </c>
      <c r="E390" t="s">
        <v>456</v>
      </c>
      <c r="F390" t="s">
        <v>49</v>
      </c>
      <c r="G390" t="s">
        <v>24</v>
      </c>
      <c r="H390">
        <v>1410000</v>
      </c>
      <c r="I390" t="s">
        <v>25</v>
      </c>
      <c r="J390">
        <v>241200</v>
      </c>
      <c r="K390" t="s">
        <v>25</v>
      </c>
      <c r="L390" t="s">
        <v>457</v>
      </c>
      <c r="M390" s="20">
        <v>46125</v>
      </c>
      <c r="N390" s="20">
        <v>46038</v>
      </c>
      <c r="O390" t="s">
        <v>135</v>
      </c>
      <c r="P390" t="s">
        <v>58</v>
      </c>
      <c r="Q390" t="s">
        <v>356</v>
      </c>
      <c r="R390" t="s">
        <v>29</v>
      </c>
      <c r="S390" t="s">
        <v>1014</v>
      </c>
      <c r="T390" t="str">
        <f>IF(OR(F390="Project - Competitive",F390="Project - Not Competitive"),"New Business","Upsell")</f>
        <v>New Business</v>
      </c>
      <c r="U390" t="str">
        <f>TEXT(M390,"mm/aaaa")</f>
        <v>04/2026</v>
      </c>
      <c r="V390" t="str">
        <f t="shared" si="12"/>
        <v/>
      </c>
      <c r="W390" s="26">
        <f t="shared" ca="1" si="13"/>
        <v>100</v>
      </c>
    </row>
    <row r="391" spans="1:23" ht="14.4" customHeight="1">
      <c r="A391" t="s">
        <v>745</v>
      </c>
      <c r="B391" t="s">
        <v>124</v>
      </c>
      <c r="C391" t="s">
        <v>125</v>
      </c>
      <c r="D391" t="s">
        <v>126</v>
      </c>
      <c r="E391" t="s">
        <v>912</v>
      </c>
      <c r="F391" t="s">
        <v>23</v>
      </c>
      <c r="G391" t="s">
        <v>112</v>
      </c>
      <c r="H391">
        <v>0</v>
      </c>
      <c r="M391" s="20">
        <v>46203</v>
      </c>
      <c r="N391" s="20">
        <v>46359</v>
      </c>
      <c r="O391" t="s">
        <v>27</v>
      </c>
      <c r="P391" t="s">
        <v>1018</v>
      </c>
      <c r="Q391" t="s">
        <v>164</v>
      </c>
      <c r="S391" t="s">
        <v>1012</v>
      </c>
      <c r="T391" t="str">
        <f>IF(OR(F391="Project - Competitive",F391="Project - Not Competitive"),"New Business","Upsell")</f>
        <v>Upsell</v>
      </c>
      <c r="U391" t="str">
        <f>TEXT(M391,"mm/aaaa")</f>
        <v>06/2026</v>
      </c>
      <c r="V391" t="str">
        <f t="shared" si="12"/>
        <v/>
      </c>
      <c r="W391" s="26">
        <f t="shared" ca="1" si="13"/>
        <v>0</v>
      </c>
    </row>
    <row r="392" spans="1:23" ht="14.4" customHeight="1">
      <c r="A392" t="s">
        <v>905</v>
      </c>
      <c r="B392" t="s">
        <v>494</v>
      </c>
      <c r="C392" t="s">
        <v>495</v>
      </c>
      <c r="D392" t="s">
        <v>110</v>
      </c>
      <c r="E392" t="s">
        <v>906</v>
      </c>
      <c r="F392" t="s">
        <v>23</v>
      </c>
      <c r="G392" t="s">
        <v>112</v>
      </c>
      <c r="H392">
        <v>0</v>
      </c>
      <c r="M392" s="20">
        <v>46203</v>
      </c>
      <c r="N392" s="20">
        <v>46238</v>
      </c>
      <c r="O392" t="s">
        <v>907</v>
      </c>
      <c r="P392" t="s">
        <v>58</v>
      </c>
      <c r="Q392" t="s">
        <v>122</v>
      </c>
      <c r="R392" t="s">
        <v>29</v>
      </c>
      <c r="S392" t="s">
        <v>1016</v>
      </c>
      <c r="T392" t="str">
        <f>IF(OR(F392="Project - Competitive",F392="Project - Not Competitive"),"New Business","Upsell")</f>
        <v>Upsell</v>
      </c>
      <c r="U392" t="str">
        <f>TEXT(M392,"mm/aaaa")</f>
        <v>06/2026</v>
      </c>
      <c r="V392" t="str">
        <f t="shared" si="12"/>
        <v/>
      </c>
      <c r="W392" s="26">
        <f t="shared" ca="1" si="13"/>
        <v>0</v>
      </c>
    </row>
    <row r="393" spans="1:23" ht="14.4" customHeight="1">
      <c r="A393" t="s">
        <v>597</v>
      </c>
      <c r="B393" t="s">
        <v>598</v>
      </c>
      <c r="C393" t="s">
        <v>599</v>
      </c>
      <c r="D393" t="s">
        <v>37</v>
      </c>
      <c r="E393" t="s">
        <v>830</v>
      </c>
      <c r="F393" t="s">
        <v>39</v>
      </c>
      <c r="G393" t="s">
        <v>112</v>
      </c>
      <c r="H393">
        <v>0</v>
      </c>
      <c r="M393" s="20">
        <v>46029</v>
      </c>
      <c r="N393" s="20">
        <v>46071</v>
      </c>
      <c r="O393" t="s">
        <v>149</v>
      </c>
      <c r="P393" t="s">
        <v>1005</v>
      </c>
      <c r="Q393" t="s">
        <v>555</v>
      </c>
      <c r="S393" t="s">
        <v>1015</v>
      </c>
      <c r="T393" t="str">
        <f>IF(OR(F393="Project - Competitive",F393="Project - Not Competitive"),"New Business","Upsell")</f>
        <v>New Business</v>
      </c>
      <c r="U393" t="str">
        <f>TEXT(M393,"mm/aaaa")</f>
        <v>01/2026</v>
      </c>
      <c r="V393" t="str">
        <f t="shared" si="12"/>
        <v/>
      </c>
      <c r="W393" s="26">
        <f t="shared" ca="1" si="13"/>
        <v>67</v>
      </c>
    </row>
    <row r="394" spans="1:23" ht="14.4" customHeight="1">
      <c r="A394" t="s">
        <v>831</v>
      </c>
      <c r="B394" t="s">
        <v>832</v>
      </c>
      <c r="C394" t="s">
        <v>833</v>
      </c>
      <c r="D394" t="s">
        <v>47</v>
      </c>
      <c r="E394" t="s">
        <v>834</v>
      </c>
      <c r="G394" t="s">
        <v>112</v>
      </c>
      <c r="H394">
        <v>0</v>
      </c>
      <c r="M394" s="20">
        <v>46178</v>
      </c>
      <c r="N394" s="20">
        <v>46111</v>
      </c>
      <c r="O394" t="s">
        <v>50</v>
      </c>
      <c r="P394" t="s">
        <v>58</v>
      </c>
      <c r="Q394" t="s">
        <v>446</v>
      </c>
      <c r="S394" t="s">
        <v>1015</v>
      </c>
      <c r="T394" t="str">
        <f>IF(OR(F394="Project - Competitive",F394="Project - Not Competitive"),"New Business","Upsell")</f>
        <v>Upsell</v>
      </c>
      <c r="U394" t="str">
        <f>TEXT(M394,"mm/aaaa")</f>
        <v>06/2026</v>
      </c>
      <c r="V394" t="str">
        <f t="shared" si="12"/>
        <v/>
      </c>
      <c r="W394" s="26">
        <f t="shared" ca="1" si="13"/>
        <v>27</v>
      </c>
    </row>
    <row r="395" spans="1:23">
      <c r="A395" t="s">
        <v>846</v>
      </c>
      <c r="B395" t="s">
        <v>847</v>
      </c>
      <c r="C395" t="s">
        <v>848</v>
      </c>
      <c r="D395" t="s">
        <v>64</v>
      </c>
      <c r="E395" t="s">
        <v>849</v>
      </c>
      <c r="F395" t="s">
        <v>49</v>
      </c>
      <c r="G395" t="s">
        <v>112</v>
      </c>
      <c r="H395">
        <v>0</v>
      </c>
      <c r="M395" s="20">
        <v>46171</v>
      </c>
      <c r="N395" s="20">
        <v>46111</v>
      </c>
      <c r="O395" t="s">
        <v>42</v>
      </c>
      <c r="P395" t="s">
        <v>1005</v>
      </c>
      <c r="Q395" t="s">
        <v>446</v>
      </c>
      <c r="R395" t="s">
        <v>29</v>
      </c>
      <c r="S395" t="s">
        <v>1015</v>
      </c>
      <c r="T395" t="str">
        <f>IF(OR(F395="Project - Competitive",F395="Project - Not Competitive"),"New Business","Upsell")</f>
        <v>New Business</v>
      </c>
      <c r="U395" t="str">
        <f>TEXT(M395,"mm/aaaa")</f>
        <v>05/2026</v>
      </c>
      <c r="V395" t="str">
        <f t="shared" si="12"/>
        <v/>
      </c>
      <c r="W395" s="26">
        <f t="shared" ca="1" si="13"/>
        <v>27</v>
      </c>
    </row>
    <row r="396" spans="1:23">
      <c r="A396" t="s">
        <v>944</v>
      </c>
      <c r="B396" t="s">
        <v>945</v>
      </c>
      <c r="C396" t="s">
        <v>946</v>
      </c>
      <c r="D396" t="s">
        <v>64</v>
      </c>
      <c r="E396" t="s">
        <v>947</v>
      </c>
      <c r="F396" t="s">
        <v>39</v>
      </c>
      <c r="G396" t="s">
        <v>112</v>
      </c>
      <c r="H396">
        <v>0</v>
      </c>
      <c r="M396" s="20">
        <v>46300</v>
      </c>
      <c r="N396" s="20">
        <v>46299</v>
      </c>
      <c r="O396" t="s">
        <v>50</v>
      </c>
      <c r="P396" t="s">
        <v>1005</v>
      </c>
      <c r="Q396" t="s">
        <v>165</v>
      </c>
      <c r="S396" t="s">
        <v>1015</v>
      </c>
      <c r="T396" t="str">
        <f>IF(OR(F396="Project - Competitive",F396="Project - Not Competitive"),"New Business","Upsell")</f>
        <v>New Business</v>
      </c>
      <c r="U396" t="str">
        <f>TEXT(M396,"mm/aaaa")</f>
        <v>10/2026</v>
      </c>
      <c r="V396" t="str">
        <f t="shared" si="12"/>
        <v/>
      </c>
      <c r="W396" s="26">
        <f t="shared" ca="1" si="13"/>
        <v>0</v>
      </c>
    </row>
    <row r="397" spans="1:23">
      <c r="A397" t="s">
        <v>988</v>
      </c>
      <c r="B397" t="s">
        <v>989</v>
      </c>
      <c r="C397" t="s">
        <v>990</v>
      </c>
      <c r="D397" t="s">
        <v>132</v>
      </c>
      <c r="E397" t="s">
        <v>991</v>
      </c>
      <c r="F397" t="s">
        <v>39</v>
      </c>
      <c r="G397" t="s">
        <v>112</v>
      </c>
      <c r="H397">
        <v>0</v>
      </c>
      <c r="M397" s="20">
        <v>46240</v>
      </c>
      <c r="N397" s="20">
        <v>46125</v>
      </c>
      <c r="O397" t="s">
        <v>290</v>
      </c>
      <c r="P397" t="s">
        <v>58</v>
      </c>
      <c r="Q397" t="s">
        <v>73</v>
      </c>
      <c r="S397" t="s">
        <v>1015</v>
      </c>
      <c r="T397" t="str">
        <f>IF(OR(F397="Project - Competitive",F397="Project - Not Competitive"),"New Business","Upsell")</f>
        <v>New Business</v>
      </c>
      <c r="U397" t="str">
        <f>TEXT(M397,"mm/aaaa")</f>
        <v>08/2026</v>
      </c>
      <c r="V397" t="str">
        <f t="shared" si="12"/>
        <v/>
      </c>
      <c r="W397" s="26">
        <f t="shared" ca="1" si="13"/>
        <v>13</v>
      </c>
    </row>
    <row r="398" spans="1:23">
      <c r="A398" t="s">
        <v>984</v>
      </c>
      <c r="B398" t="s">
        <v>985</v>
      </c>
      <c r="C398" t="s">
        <v>986</v>
      </c>
      <c r="D398" t="s">
        <v>132</v>
      </c>
      <c r="E398" t="s">
        <v>987</v>
      </c>
      <c r="F398" t="s">
        <v>39</v>
      </c>
      <c r="G398" t="s">
        <v>112</v>
      </c>
      <c r="H398">
        <v>0</v>
      </c>
      <c r="M398" s="20">
        <v>46155</v>
      </c>
      <c r="N398" s="20">
        <v>46125</v>
      </c>
      <c r="O398" t="s">
        <v>290</v>
      </c>
      <c r="P398" t="s">
        <v>58</v>
      </c>
      <c r="Q398" t="s">
        <v>73</v>
      </c>
      <c r="S398" t="s">
        <v>1015</v>
      </c>
      <c r="T398" t="str">
        <f>IF(OR(F398="Project - Competitive",F398="Project - Not Competitive"),"New Business","Upsell")</f>
        <v>New Business</v>
      </c>
      <c r="U398" t="str">
        <f>TEXT(M398,"mm/aaaa")</f>
        <v>05/2026</v>
      </c>
      <c r="V398" t="str">
        <f t="shared" si="12"/>
        <v/>
      </c>
      <c r="W398" s="26">
        <f t="shared" ca="1" si="13"/>
        <v>13</v>
      </c>
    </row>
    <row r="399" spans="1:23">
      <c r="A399" t="s">
        <v>883</v>
      </c>
      <c r="B399" t="s">
        <v>884</v>
      </c>
      <c r="C399" t="s">
        <v>885</v>
      </c>
      <c r="D399" t="s">
        <v>110</v>
      </c>
      <c r="E399" t="s">
        <v>886</v>
      </c>
      <c r="F399" t="s">
        <v>23</v>
      </c>
      <c r="G399" t="s">
        <v>112</v>
      </c>
      <c r="H399">
        <v>0</v>
      </c>
      <c r="M399" s="20">
        <v>46203</v>
      </c>
      <c r="N399" s="20">
        <v>46057</v>
      </c>
      <c r="O399" t="s">
        <v>27</v>
      </c>
      <c r="P399" t="s">
        <v>1005</v>
      </c>
      <c r="Q399" t="s">
        <v>29</v>
      </c>
      <c r="S399" t="s">
        <v>1012</v>
      </c>
      <c r="T399" t="str">
        <f>IF(OR(F399="Project - Competitive",F399="Project - Not Competitive"),"New Business","Upsell")</f>
        <v>Upsell</v>
      </c>
      <c r="U399" t="str">
        <f>TEXT(M399,"mm/aaaa")</f>
        <v>06/2026</v>
      </c>
      <c r="V399" t="str">
        <f t="shared" si="12"/>
        <v/>
      </c>
      <c r="W399" s="26">
        <f t="shared" ca="1" si="13"/>
        <v>81</v>
      </c>
    </row>
    <row r="400" spans="1:23" ht="14.4" customHeight="1">
      <c r="A400" t="s">
        <v>850</v>
      </c>
      <c r="B400" t="s">
        <v>851</v>
      </c>
      <c r="C400" t="s">
        <v>852</v>
      </c>
      <c r="D400" t="s">
        <v>64</v>
      </c>
      <c r="E400" t="s">
        <v>853</v>
      </c>
      <c r="F400" t="s">
        <v>49</v>
      </c>
      <c r="G400" t="s">
        <v>112</v>
      </c>
      <c r="H400">
        <v>0</v>
      </c>
      <c r="M400" s="20">
        <v>46141</v>
      </c>
      <c r="N400" s="20">
        <v>46111</v>
      </c>
      <c r="O400" t="s">
        <v>50</v>
      </c>
      <c r="P400" t="s">
        <v>1005</v>
      </c>
      <c r="Q400" t="s">
        <v>446</v>
      </c>
      <c r="S400" t="s">
        <v>1015</v>
      </c>
      <c r="T400" t="str">
        <f>IF(OR(F400="Project - Competitive",F400="Project - Not Competitive"),"New Business","Upsell")</f>
        <v>New Business</v>
      </c>
      <c r="U400" t="str">
        <f>TEXT(M400,"mm/aaaa")</f>
        <v>04/2026</v>
      </c>
      <c r="V400" t="str">
        <f t="shared" si="12"/>
        <v/>
      </c>
      <c r="W400" s="26">
        <f t="shared" ca="1" si="13"/>
        <v>27</v>
      </c>
    </row>
    <row r="401" spans="1:23" ht="14.4" customHeight="1">
      <c r="A401" t="s">
        <v>923</v>
      </c>
      <c r="B401" t="s">
        <v>686</v>
      </c>
      <c r="C401" t="s">
        <v>1063</v>
      </c>
      <c r="D401" t="s">
        <v>328</v>
      </c>
      <c r="E401" t="s">
        <v>1048</v>
      </c>
      <c r="F401" t="s">
        <v>23</v>
      </c>
      <c r="G401" t="s">
        <v>112</v>
      </c>
      <c r="H401">
        <v>0</v>
      </c>
      <c r="M401" s="20">
        <v>46234</v>
      </c>
      <c r="N401" s="20">
        <v>46269</v>
      </c>
      <c r="O401" t="s">
        <v>872</v>
      </c>
      <c r="P401" t="s">
        <v>58</v>
      </c>
      <c r="Q401" t="s">
        <v>324</v>
      </c>
      <c r="S401" t="s">
        <v>1012</v>
      </c>
      <c r="T401" t="str">
        <f>IF(OR(F401="Project - Competitive",F401="Project - Not Competitive"),"New Business","Upsell")</f>
        <v>Upsell</v>
      </c>
      <c r="U401" t="str">
        <f>TEXT(M401,"mm/aaaa")</f>
        <v>07/2026</v>
      </c>
      <c r="V401" t="str">
        <f t="shared" si="12"/>
        <v/>
      </c>
      <c r="W401" s="26">
        <f t="shared" ca="1" si="13"/>
        <v>0</v>
      </c>
    </row>
    <row r="402" spans="1:23">
      <c r="A402" t="s">
        <v>954</v>
      </c>
      <c r="B402" t="s">
        <v>955</v>
      </c>
      <c r="C402" t="s">
        <v>956</v>
      </c>
      <c r="D402" t="s">
        <v>64</v>
      </c>
      <c r="E402" t="s">
        <v>957</v>
      </c>
      <c r="F402" t="s">
        <v>49</v>
      </c>
      <c r="G402" t="s">
        <v>112</v>
      </c>
      <c r="H402">
        <v>0</v>
      </c>
      <c r="M402" s="20">
        <v>46300</v>
      </c>
      <c r="N402" s="20">
        <v>46299</v>
      </c>
      <c r="O402" t="s">
        <v>149</v>
      </c>
      <c r="P402" t="s">
        <v>1018</v>
      </c>
      <c r="Q402" t="s">
        <v>165</v>
      </c>
      <c r="S402" t="s">
        <v>1015</v>
      </c>
      <c r="T402" t="str">
        <f>IF(OR(F402="Project - Competitive",F402="Project - Not Competitive"),"New Business","Upsell")</f>
        <v>New Business</v>
      </c>
      <c r="U402" t="str">
        <f>TEXT(M402,"mm/aaaa")</f>
        <v>10/2026</v>
      </c>
      <c r="V402" t="str">
        <f t="shared" si="12"/>
        <v/>
      </c>
      <c r="W402" s="26">
        <f t="shared" ca="1" si="13"/>
        <v>0</v>
      </c>
    </row>
    <row r="403" spans="1:23">
      <c r="A403" t="s">
        <v>863</v>
      </c>
      <c r="B403" t="s">
        <v>864</v>
      </c>
      <c r="C403" t="s">
        <v>865</v>
      </c>
      <c r="D403" t="s">
        <v>866</v>
      </c>
      <c r="E403" t="s">
        <v>867</v>
      </c>
      <c r="G403" t="s">
        <v>112</v>
      </c>
      <c r="H403">
        <v>0</v>
      </c>
      <c r="M403" s="20">
        <v>46112</v>
      </c>
      <c r="N403" s="20">
        <v>46112</v>
      </c>
      <c r="O403" t="s">
        <v>135</v>
      </c>
      <c r="P403" t="s">
        <v>1005</v>
      </c>
      <c r="Q403" t="s">
        <v>83</v>
      </c>
      <c r="S403" t="s">
        <v>1014</v>
      </c>
      <c r="T403" t="str">
        <f>IF(OR(F403="Project - Competitive",F403="Project - Not Competitive"),"New Business","Upsell")</f>
        <v>Upsell</v>
      </c>
      <c r="U403" t="str">
        <f>TEXT(M403,"mm/aaaa")</f>
        <v>03/2026</v>
      </c>
      <c r="V403" t="str">
        <f t="shared" si="12"/>
        <v/>
      </c>
      <c r="W403" s="26">
        <f t="shared" ca="1" si="13"/>
        <v>26</v>
      </c>
    </row>
    <row r="404" spans="1:23">
      <c r="A404" t="s">
        <v>971</v>
      </c>
      <c r="B404" t="s">
        <v>972</v>
      </c>
      <c r="C404" t="s">
        <v>973</v>
      </c>
      <c r="D404" t="s">
        <v>203</v>
      </c>
      <c r="E404" t="s">
        <v>974</v>
      </c>
      <c r="F404" t="s">
        <v>39</v>
      </c>
      <c r="G404" t="s">
        <v>112</v>
      </c>
      <c r="H404">
        <v>0</v>
      </c>
      <c r="M404" s="20">
        <v>46155</v>
      </c>
      <c r="N404" s="20">
        <v>46125</v>
      </c>
      <c r="O404" t="s">
        <v>50</v>
      </c>
      <c r="P404" t="s">
        <v>1005</v>
      </c>
      <c r="Q404" t="s">
        <v>73</v>
      </c>
      <c r="R404" t="s">
        <v>29</v>
      </c>
      <c r="S404" t="s">
        <v>1015</v>
      </c>
      <c r="T404" t="str">
        <f>IF(OR(F404="Project - Competitive",F404="Project - Not Competitive"),"New Business","Upsell")</f>
        <v>New Business</v>
      </c>
      <c r="U404" t="str">
        <f>TEXT(M404,"mm/aaaa")</f>
        <v>05/2026</v>
      </c>
      <c r="V404" t="str">
        <f t="shared" si="12"/>
        <v/>
      </c>
      <c r="W404" s="26">
        <f t="shared" ca="1" si="13"/>
        <v>13</v>
      </c>
    </row>
    <row r="405" spans="1:23">
      <c r="A405" t="s">
        <v>511</v>
      </c>
      <c r="B405" t="s">
        <v>19</v>
      </c>
      <c r="C405" t="s">
        <v>20</v>
      </c>
      <c r="D405" t="s">
        <v>21</v>
      </c>
      <c r="E405" t="s">
        <v>657</v>
      </c>
      <c r="F405" t="s">
        <v>23</v>
      </c>
      <c r="G405" t="s">
        <v>535</v>
      </c>
      <c r="H405">
        <v>0</v>
      </c>
      <c r="M405" s="20">
        <v>46173</v>
      </c>
      <c r="N405" s="20">
        <v>46055</v>
      </c>
      <c r="O405" t="s">
        <v>27</v>
      </c>
      <c r="P405" t="s">
        <v>1018</v>
      </c>
      <c r="Q405" t="s">
        <v>184</v>
      </c>
      <c r="S405" t="s">
        <v>1012</v>
      </c>
      <c r="T405" t="str">
        <f>IF(OR(F405="Project - Competitive",F405="Project - Not Competitive"),"New Business","Upsell")</f>
        <v>Upsell</v>
      </c>
      <c r="U405" t="str">
        <f>TEXT(M405,"mm/aaaa")</f>
        <v>05/2026</v>
      </c>
      <c r="V405" t="str">
        <f t="shared" si="12"/>
        <v/>
      </c>
      <c r="W405" s="26">
        <f t="shared" ca="1" si="13"/>
        <v>83</v>
      </c>
    </row>
    <row r="406" spans="1:23">
      <c r="A406" t="s">
        <v>658</v>
      </c>
      <c r="B406" t="s">
        <v>19</v>
      </c>
      <c r="C406" t="s">
        <v>20</v>
      </c>
      <c r="D406" t="s">
        <v>21</v>
      </c>
      <c r="E406" t="s">
        <v>512</v>
      </c>
      <c r="F406" t="s">
        <v>23</v>
      </c>
      <c r="G406" t="s">
        <v>112</v>
      </c>
      <c r="H406">
        <v>0</v>
      </c>
      <c r="M406" s="20">
        <v>46173</v>
      </c>
      <c r="N406" s="20">
        <v>46056</v>
      </c>
      <c r="O406" t="s">
        <v>27</v>
      </c>
      <c r="P406" t="s">
        <v>1018</v>
      </c>
      <c r="Q406" t="s">
        <v>589</v>
      </c>
      <c r="S406" t="s">
        <v>1012</v>
      </c>
      <c r="T406" t="str">
        <f>IF(OR(F406="Project - Competitive",F406="Project - Not Competitive"),"New Business","Upsell")</f>
        <v>Upsell</v>
      </c>
      <c r="U406" t="str">
        <f>TEXT(M406,"mm/aaaa")</f>
        <v>05/2026</v>
      </c>
      <c r="V406" t="str">
        <f t="shared" si="12"/>
        <v/>
      </c>
      <c r="W406" s="26">
        <f t="shared" ca="1" si="13"/>
        <v>82</v>
      </c>
    </row>
    <row r="407" spans="1:23">
      <c r="A407" t="s">
        <v>962</v>
      </c>
      <c r="B407" t="s">
        <v>963</v>
      </c>
      <c r="C407" t="s">
        <v>964</v>
      </c>
      <c r="D407" t="s">
        <v>132</v>
      </c>
      <c r="E407" t="s">
        <v>965</v>
      </c>
      <c r="G407" t="s">
        <v>112</v>
      </c>
      <c r="H407">
        <v>0</v>
      </c>
      <c r="M407" s="20">
        <v>46029</v>
      </c>
      <c r="N407" s="20">
        <v>46299</v>
      </c>
      <c r="O407" t="s">
        <v>290</v>
      </c>
      <c r="P407" t="s">
        <v>1018</v>
      </c>
      <c r="Q407" t="s">
        <v>165</v>
      </c>
      <c r="S407" t="s">
        <v>1015</v>
      </c>
      <c r="T407" t="str">
        <f>IF(OR(F407="Project - Competitive",F407="Project - Not Competitive"),"New Business","Upsell")</f>
        <v>Upsell</v>
      </c>
      <c r="U407" t="str">
        <f>TEXT(M407,"mm/aaaa")</f>
        <v>01/2026</v>
      </c>
      <c r="V407" t="str">
        <f t="shared" si="12"/>
        <v/>
      </c>
      <c r="W407" s="26">
        <f t="shared" ca="1" si="13"/>
        <v>0</v>
      </c>
    </row>
    <row r="408" spans="1:23">
      <c r="A408" t="s">
        <v>107</v>
      </c>
      <c r="B408" t="s">
        <v>108</v>
      </c>
      <c r="C408" t="s">
        <v>109</v>
      </c>
      <c r="D408" t="s">
        <v>110</v>
      </c>
      <c r="E408" t="s">
        <v>543</v>
      </c>
      <c r="F408" t="s">
        <v>23</v>
      </c>
      <c r="G408" t="s">
        <v>112</v>
      </c>
      <c r="H408">
        <v>0</v>
      </c>
      <c r="M408" s="20">
        <v>46203</v>
      </c>
      <c r="N408" s="20">
        <v>46000</v>
      </c>
      <c r="O408" t="s">
        <v>27</v>
      </c>
      <c r="P408" t="s">
        <v>1005</v>
      </c>
      <c r="Q408" t="s">
        <v>113</v>
      </c>
      <c r="R408" t="s">
        <v>29</v>
      </c>
      <c r="S408" t="s">
        <v>1012</v>
      </c>
      <c r="T408" t="str">
        <f>IF(OR(F408="Project - Competitive",F408="Project - Not Competitive"),"New Business","Upsell")</f>
        <v>Upsell</v>
      </c>
      <c r="U408" t="str">
        <f>TEXT(M408,"mm/aaaa")</f>
        <v>06/2026</v>
      </c>
      <c r="V408" t="str">
        <f t="shared" si="12"/>
        <v/>
      </c>
      <c r="W408" s="26">
        <f t="shared" ca="1" si="13"/>
        <v>138</v>
      </c>
    </row>
    <row r="409" spans="1:23">
      <c r="A409" t="s">
        <v>1002</v>
      </c>
      <c r="B409" t="s">
        <v>180</v>
      </c>
      <c r="C409" t="s">
        <v>181</v>
      </c>
      <c r="D409" t="s">
        <v>126</v>
      </c>
      <c r="E409" t="s">
        <v>1003</v>
      </c>
      <c r="F409" t="s">
        <v>23</v>
      </c>
      <c r="G409" t="s">
        <v>112</v>
      </c>
      <c r="H409">
        <v>0</v>
      </c>
      <c r="M409" s="20">
        <v>46234</v>
      </c>
      <c r="N409" s="20">
        <v>46126</v>
      </c>
      <c r="O409" t="s">
        <v>314</v>
      </c>
      <c r="P409" t="s">
        <v>1018</v>
      </c>
      <c r="Q409" t="s">
        <v>819</v>
      </c>
      <c r="S409" t="s">
        <v>1016</v>
      </c>
      <c r="T409" t="str">
        <f>IF(OR(F409="Project - Competitive",F409="Project - Not Competitive"),"New Business","Upsell")</f>
        <v>Upsell</v>
      </c>
      <c r="U409" t="str">
        <f>TEXT(M409,"mm/aaaa")</f>
        <v>07/2026</v>
      </c>
      <c r="V409" t="str">
        <f t="shared" si="12"/>
        <v/>
      </c>
      <c r="W409" s="26">
        <f t="shared" ca="1" si="13"/>
        <v>12</v>
      </c>
    </row>
    <row r="410" spans="1:23">
      <c r="A410" t="s">
        <v>948</v>
      </c>
      <c r="B410" t="s">
        <v>138</v>
      </c>
      <c r="C410" t="s">
        <v>139</v>
      </c>
      <c r="D410" t="s">
        <v>70</v>
      </c>
      <c r="E410" t="s">
        <v>949</v>
      </c>
      <c r="F410" t="s">
        <v>23</v>
      </c>
      <c r="G410" t="s">
        <v>112</v>
      </c>
      <c r="H410">
        <v>0</v>
      </c>
      <c r="M410" s="20">
        <v>46203</v>
      </c>
      <c r="N410" s="20">
        <v>46299</v>
      </c>
      <c r="O410" t="s">
        <v>314</v>
      </c>
      <c r="P410" t="s">
        <v>1018</v>
      </c>
      <c r="Q410" t="s">
        <v>165</v>
      </c>
      <c r="S410" t="s">
        <v>1016</v>
      </c>
      <c r="T410" t="str">
        <f>IF(OR(F410="Project - Competitive",F410="Project - Not Competitive"),"New Business","Upsell")</f>
        <v>Upsell</v>
      </c>
      <c r="U410" t="str">
        <f>TEXT(M410,"mm/aaaa")</f>
        <v>06/2026</v>
      </c>
      <c r="V410" t="str">
        <f t="shared" si="12"/>
        <v/>
      </c>
      <c r="W410" s="26">
        <f t="shared" ca="1" si="13"/>
        <v>0</v>
      </c>
    </row>
    <row r="411" spans="1:23">
      <c r="A411" t="s">
        <v>533</v>
      </c>
      <c r="B411" t="s">
        <v>529</v>
      </c>
      <c r="C411" t="s">
        <v>530</v>
      </c>
      <c r="D411" t="s">
        <v>175</v>
      </c>
      <c r="E411" t="s">
        <v>890</v>
      </c>
      <c r="F411" t="s">
        <v>23</v>
      </c>
      <c r="G411" t="s">
        <v>535</v>
      </c>
      <c r="H411">
        <v>0</v>
      </c>
      <c r="M411" s="20">
        <v>46027</v>
      </c>
      <c r="N411" s="20">
        <v>46144</v>
      </c>
      <c r="O411" t="s">
        <v>27</v>
      </c>
      <c r="P411" t="s">
        <v>1018</v>
      </c>
      <c r="Q411" t="s">
        <v>415</v>
      </c>
      <c r="R411" t="s">
        <v>29</v>
      </c>
      <c r="S411" t="s">
        <v>1012</v>
      </c>
      <c r="T411" t="str">
        <f>IF(OR(F411="Project - Competitive",F411="Project - Not Competitive"),"New Business","Upsell")</f>
        <v>Upsell</v>
      </c>
      <c r="U411" t="str">
        <f>TEXT(M411,"mm/aaaa")</f>
        <v>01/2026</v>
      </c>
      <c r="V411" t="str">
        <f t="shared" si="12"/>
        <v/>
      </c>
      <c r="W411" s="26">
        <f t="shared" ca="1" si="13"/>
        <v>0</v>
      </c>
    </row>
    <row r="412" spans="1:23" ht="14.4" customHeight="1">
      <c r="A412" t="s">
        <v>887</v>
      </c>
      <c r="B412" t="s">
        <v>713</v>
      </c>
      <c r="C412" t="s">
        <v>714</v>
      </c>
      <c r="D412" t="s">
        <v>175</v>
      </c>
      <c r="E412" t="s">
        <v>888</v>
      </c>
      <c r="F412" t="s">
        <v>23</v>
      </c>
      <c r="G412" t="s">
        <v>112</v>
      </c>
      <c r="H412">
        <v>0</v>
      </c>
      <c r="M412" s="20">
        <v>46171</v>
      </c>
      <c r="N412" s="20">
        <v>46057</v>
      </c>
      <c r="O412" t="s">
        <v>314</v>
      </c>
      <c r="P412" t="s">
        <v>1018</v>
      </c>
      <c r="Q412" t="s">
        <v>29</v>
      </c>
      <c r="R412" t="s">
        <v>29</v>
      </c>
      <c r="S412" t="s">
        <v>1016</v>
      </c>
      <c r="T412" t="str">
        <f>IF(OR(F412="Project - Competitive",F412="Project - Not Competitive"),"New Business","Upsell")</f>
        <v>Upsell</v>
      </c>
      <c r="U412" t="str">
        <f>TEXT(M412,"mm/aaaa")</f>
        <v>05/2026</v>
      </c>
      <c r="V412" t="str">
        <f t="shared" si="12"/>
        <v/>
      </c>
      <c r="W412" s="26">
        <f t="shared" ca="1" si="13"/>
        <v>81</v>
      </c>
    </row>
    <row r="413" spans="1:23" ht="14.4" customHeight="1">
      <c r="A413" t="s">
        <v>820</v>
      </c>
      <c r="B413" t="s">
        <v>68</v>
      </c>
      <c r="C413" t="s">
        <v>69</v>
      </c>
      <c r="D413" t="s">
        <v>70</v>
      </c>
      <c r="E413" t="s">
        <v>914</v>
      </c>
      <c r="F413" t="s">
        <v>23</v>
      </c>
      <c r="G413" t="s">
        <v>112</v>
      </c>
      <c r="H413">
        <v>0</v>
      </c>
      <c r="M413" s="20">
        <v>46203</v>
      </c>
      <c r="N413" s="20">
        <v>46107</v>
      </c>
      <c r="O413" t="s">
        <v>27</v>
      </c>
      <c r="P413" t="s">
        <v>1018</v>
      </c>
      <c r="Q413" t="s">
        <v>451</v>
      </c>
      <c r="R413" t="s">
        <v>29</v>
      </c>
      <c r="S413" t="s">
        <v>1012</v>
      </c>
      <c r="T413" t="str">
        <f>IF(OR(F413="Project - Competitive",F413="Project - Not Competitive"),"New Business","Upsell")</f>
        <v>Upsell</v>
      </c>
      <c r="U413" t="str">
        <f>TEXT(M413,"mm/aaaa")</f>
        <v>06/2026</v>
      </c>
      <c r="V413" t="str">
        <f t="shared" si="12"/>
        <v/>
      </c>
      <c r="W413" s="26">
        <f t="shared" ca="1" si="13"/>
        <v>31</v>
      </c>
    </row>
    <row r="414" spans="1:23">
      <c r="A414" t="s">
        <v>822</v>
      </c>
      <c r="B414" t="s">
        <v>68</v>
      </c>
      <c r="C414" t="s">
        <v>69</v>
      </c>
      <c r="D414" t="s">
        <v>70</v>
      </c>
      <c r="E414" t="s">
        <v>916</v>
      </c>
      <c r="F414" t="s">
        <v>23</v>
      </c>
      <c r="G414" t="s">
        <v>112</v>
      </c>
      <c r="H414">
        <v>0</v>
      </c>
      <c r="M414" s="20">
        <v>46203</v>
      </c>
      <c r="N414" s="20">
        <v>46107</v>
      </c>
      <c r="O414" t="s">
        <v>27</v>
      </c>
      <c r="P414" t="s">
        <v>1018</v>
      </c>
      <c r="Q414" t="s">
        <v>451</v>
      </c>
      <c r="S414" t="s">
        <v>1012</v>
      </c>
      <c r="T414" t="str">
        <f>IF(OR(F414="Project - Competitive",F414="Project - Not Competitive"),"New Business","Upsell")</f>
        <v>Upsell</v>
      </c>
      <c r="U414" t="str">
        <f>TEXT(M414,"mm/aaaa")</f>
        <v>06/2026</v>
      </c>
      <c r="V414" t="str">
        <f t="shared" si="12"/>
        <v/>
      </c>
      <c r="W414" s="26">
        <f t="shared" ca="1" si="13"/>
        <v>31</v>
      </c>
    </row>
  </sheetData>
  <autoFilter ref="A1:W414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zoomScale="75" workbookViewId="0">
      <selection activeCell="B15" sqref="B15"/>
    </sheetView>
  </sheetViews>
  <sheetFormatPr defaultRowHeight="14.4"/>
  <cols>
    <col min="1" max="1" width="21.77734375" style="11" customWidth="1"/>
    <col min="2" max="2" width="16.21875" customWidth="1"/>
  </cols>
  <sheetData>
    <row r="1" spans="1:17" ht="18">
      <c r="A1" s="13" t="s">
        <v>1067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>
      <c r="A3" s="14" t="s">
        <v>1008</v>
      </c>
      <c r="B3" s="11" t="s">
        <v>1011</v>
      </c>
    </row>
    <row r="4" spans="1:17">
      <c r="A4" s="21">
        <v>46026</v>
      </c>
      <c r="B4" s="5">
        <v>17899</v>
      </c>
    </row>
    <row r="5" spans="1:17">
      <c r="A5" s="21">
        <v>46027</v>
      </c>
      <c r="B5" s="5">
        <v>1726849.6</v>
      </c>
    </row>
    <row r="6" spans="1:17">
      <c r="A6" s="21">
        <v>46028</v>
      </c>
      <c r="B6" s="5">
        <v>2010020</v>
      </c>
    </row>
    <row r="7" spans="1:17">
      <c r="A7" s="21">
        <v>46029</v>
      </c>
      <c r="B7" s="5">
        <v>0</v>
      </c>
    </row>
    <row r="8" spans="1:17">
      <c r="A8" s="21">
        <v>46036</v>
      </c>
      <c r="B8" s="5">
        <v>6115059.3799999999</v>
      </c>
    </row>
    <row r="9" spans="1:17">
      <c r="A9" s="21">
        <v>46037</v>
      </c>
      <c r="B9" s="5">
        <v>429774</v>
      </c>
    </row>
    <row r="10" spans="1:17">
      <c r="A10" s="21">
        <v>46041</v>
      </c>
      <c r="B10" s="5">
        <v>145000</v>
      </c>
    </row>
    <row r="11" spans="1:17">
      <c r="A11" s="21">
        <v>46042</v>
      </c>
      <c r="B11" s="5">
        <v>234960</v>
      </c>
    </row>
    <row r="12" spans="1:17">
      <c r="A12" s="21">
        <v>46043</v>
      </c>
      <c r="B12" s="5">
        <v>64258.47</v>
      </c>
    </row>
    <row r="13" spans="1:17">
      <c r="A13" s="21">
        <v>46044</v>
      </c>
      <c r="B13" s="5">
        <v>216044.4</v>
      </c>
    </row>
    <row r="14" spans="1:17">
      <c r="A14" s="21">
        <v>46049</v>
      </c>
      <c r="B14" s="5">
        <v>37002917.549999997</v>
      </c>
    </row>
    <row r="15" spans="1:17">
      <c r="A15" s="21">
        <v>46051</v>
      </c>
      <c r="B15" s="5">
        <v>667166.55000000005</v>
      </c>
    </row>
    <row r="16" spans="1:17">
      <c r="A16" s="21">
        <v>46052</v>
      </c>
      <c r="B16" s="5">
        <v>444734.13</v>
      </c>
    </row>
    <row r="17" spans="1:2">
      <c r="A17" s="21">
        <v>46053</v>
      </c>
      <c r="B17" s="5">
        <v>1073419.78</v>
      </c>
    </row>
    <row r="18" spans="1:2">
      <c r="A18" s="21">
        <v>46055</v>
      </c>
      <c r="B18" s="5">
        <v>44031.74</v>
      </c>
    </row>
    <row r="19" spans="1:2">
      <c r="A19" s="21">
        <v>46057</v>
      </c>
      <c r="B19" s="5">
        <v>996914.04</v>
      </c>
    </row>
    <row r="20" spans="1:2">
      <c r="A20" s="21">
        <v>46059</v>
      </c>
      <c r="B20" s="5">
        <v>5980149.3599999994</v>
      </c>
    </row>
    <row r="21" spans="1:2">
      <c r="A21" s="21">
        <v>46066</v>
      </c>
      <c r="B21" s="5">
        <v>16225293.759999998</v>
      </c>
    </row>
    <row r="22" spans="1:2">
      <c r="A22" s="21">
        <v>46072</v>
      </c>
      <c r="B22" s="5">
        <v>5000</v>
      </c>
    </row>
    <row r="23" spans="1:2">
      <c r="A23" s="21">
        <v>46076</v>
      </c>
      <c r="B23" s="5">
        <v>732596.04</v>
      </c>
    </row>
    <row r="24" spans="1:2">
      <c r="A24" s="21">
        <v>46077</v>
      </c>
      <c r="B24" s="5">
        <v>32400</v>
      </c>
    </row>
    <row r="25" spans="1:2">
      <c r="A25" s="21">
        <v>46078</v>
      </c>
      <c r="B25" s="5">
        <v>1814832.72</v>
      </c>
    </row>
    <row r="26" spans="1:2">
      <c r="A26" s="21">
        <v>46079</v>
      </c>
      <c r="B26" s="5">
        <v>10134386.140000001</v>
      </c>
    </row>
    <row r="27" spans="1:2">
      <c r="A27" s="21">
        <v>46080</v>
      </c>
      <c r="B27" s="5">
        <v>33904315.279999994</v>
      </c>
    </row>
    <row r="28" spans="1:2">
      <c r="A28" s="21">
        <v>46083</v>
      </c>
      <c r="B28" s="5">
        <v>39230.949999999997</v>
      </c>
    </row>
    <row r="29" spans="1:2">
      <c r="A29" s="21">
        <v>46099</v>
      </c>
      <c r="B29" s="5">
        <v>13655356.200000001</v>
      </c>
    </row>
    <row r="30" spans="1:2">
      <c r="A30" s="21">
        <v>46101</v>
      </c>
      <c r="B30" s="5">
        <v>981253.68</v>
      </c>
    </row>
    <row r="31" spans="1:2">
      <c r="A31" s="21">
        <v>46104</v>
      </c>
      <c r="B31" s="5">
        <v>1411704.92</v>
      </c>
    </row>
    <row r="32" spans="1:2">
      <c r="A32" s="21">
        <v>46105</v>
      </c>
      <c r="B32" s="5">
        <v>5861570.8799999999</v>
      </c>
    </row>
    <row r="33" spans="1:2">
      <c r="A33" s="21">
        <v>46106</v>
      </c>
      <c r="B33" s="5">
        <v>376348</v>
      </c>
    </row>
    <row r="34" spans="1:2">
      <c r="A34" s="21">
        <v>46107</v>
      </c>
      <c r="B34" s="5">
        <v>151352.54999999999</v>
      </c>
    </row>
    <row r="35" spans="1:2">
      <c r="A35" s="21">
        <v>46111</v>
      </c>
      <c r="B35" s="5">
        <v>264500</v>
      </c>
    </row>
    <row r="36" spans="1:2">
      <c r="A36" s="21">
        <v>46112</v>
      </c>
      <c r="B36" s="5">
        <v>11791963.9</v>
      </c>
    </row>
    <row r="37" spans="1:2">
      <c r="A37" s="21">
        <v>46117</v>
      </c>
      <c r="B37" s="5">
        <v>6000907.96</v>
      </c>
    </row>
    <row r="38" spans="1:2">
      <c r="A38" s="21">
        <v>46125</v>
      </c>
      <c r="B38" s="5">
        <v>9960591.0500000007</v>
      </c>
    </row>
    <row r="39" spans="1:2">
      <c r="A39" s="21">
        <v>46129</v>
      </c>
      <c r="B39" s="5">
        <v>12708478.02</v>
      </c>
    </row>
    <row r="40" spans="1:2">
      <c r="A40" s="21">
        <v>46136</v>
      </c>
      <c r="B40" s="5">
        <v>2369582</v>
      </c>
    </row>
    <row r="41" spans="1:2">
      <c r="A41" s="21">
        <v>46138</v>
      </c>
      <c r="B41" s="5">
        <v>171761.3</v>
      </c>
    </row>
    <row r="42" spans="1:2">
      <c r="A42" s="21">
        <v>46139</v>
      </c>
      <c r="B42" s="5">
        <v>622882</v>
      </c>
    </row>
    <row r="43" spans="1:2">
      <c r="A43" s="21">
        <v>46140</v>
      </c>
      <c r="B43" s="5">
        <v>72720</v>
      </c>
    </row>
    <row r="44" spans="1:2">
      <c r="A44" s="21">
        <v>46141</v>
      </c>
      <c r="B44" s="5">
        <v>2178037.2599999998</v>
      </c>
    </row>
    <row r="45" spans="1:2">
      <c r="A45" s="21">
        <v>46142</v>
      </c>
      <c r="B45" s="5">
        <v>42940461.689999998</v>
      </c>
    </row>
    <row r="46" spans="1:2">
      <c r="A46" s="21">
        <v>46143</v>
      </c>
      <c r="B46" s="5">
        <v>3988046.6399999997</v>
      </c>
    </row>
    <row r="47" spans="1:2">
      <c r="A47" s="21">
        <v>46145</v>
      </c>
      <c r="B47" s="5">
        <v>1614377.2399999998</v>
      </c>
    </row>
    <row r="48" spans="1:2">
      <c r="A48" s="21">
        <v>46155</v>
      </c>
      <c r="B48" s="5">
        <v>34494413.800000004</v>
      </c>
    </row>
    <row r="49" spans="1:2">
      <c r="A49" s="21">
        <v>46156</v>
      </c>
      <c r="B49" s="5">
        <v>57011.76</v>
      </c>
    </row>
    <row r="50" spans="1:2">
      <c r="A50" s="21">
        <v>46160</v>
      </c>
      <c r="B50" s="5">
        <v>935328</v>
      </c>
    </row>
    <row r="51" spans="1:2">
      <c r="A51" s="21">
        <v>46167</v>
      </c>
      <c r="B51" s="5">
        <v>427005.1</v>
      </c>
    </row>
    <row r="52" spans="1:2">
      <c r="A52" s="21">
        <v>46171</v>
      </c>
      <c r="B52" s="5">
        <v>26756105.32</v>
      </c>
    </row>
    <row r="53" spans="1:2">
      <c r="A53" s="21">
        <v>46173</v>
      </c>
      <c r="B53" s="5">
        <v>35380480.359999999</v>
      </c>
    </row>
    <row r="54" spans="1:2">
      <c r="A54" s="21">
        <v>46174</v>
      </c>
      <c r="B54" s="5">
        <v>3043758.2399999998</v>
      </c>
    </row>
    <row r="55" spans="1:2">
      <c r="A55" s="21">
        <v>46178</v>
      </c>
      <c r="B55" s="5">
        <v>0</v>
      </c>
    </row>
    <row r="56" spans="1:2">
      <c r="A56" s="21">
        <v>46180</v>
      </c>
      <c r="B56" s="5">
        <v>1200000</v>
      </c>
    </row>
    <row r="57" spans="1:2">
      <c r="A57" s="21">
        <v>46202</v>
      </c>
      <c r="B57" s="5">
        <v>1253856</v>
      </c>
    </row>
    <row r="58" spans="1:2">
      <c r="A58" s="21">
        <v>46203</v>
      </c>
      <c r="B58" s="5">
        <v>54892378.920000009</v>
      </c>
    </row>
    <row r="59" spans="1:2">
      <c r="A59" s="21">
        <v>46234</v>
      </c>
      <c r="B59" s="5">
        <v>8160919.8400000008</v>
      </c>
    </row>
    <row r="60" spans="1:2">
      <c r="A60" s="21">
        <v>46235</v>
      </c>
      <c r="B60" s="5">
        <v>43442.82</v>
      </c>
    </row>
    <row r="61" spans="1:2">
      <c r="A61" s="21">
        <v>46238</v>
      </c>
      <c r="B61" s="5">
        <v>91000</v>
      </c>
    </row>
    <row r="62" spans="1:2">
      <c r="A62" s="21">
        <v>46239</v>
      </c>
      <c r="B62" s="5">
        <v>897540.79</v>
      </c>
    </row>
    <row r="63" spans="1:2">
      <c r="A63" s="21">
        <v>46240</v>
      </c>
      <c r="B63" s="5">
        <v>265143.84999999998</v>
      </c>
    </row>
    <row r="64" spans="1:2">
      <c r="A64" s="21">
        <v>46266</v>
      </c>
      <c r="B64" s="5">
        <v>530928.88</v>
      </c>
    </row>
    <row r="65" spans="1:2">
      <c r="A65" s="21">
        <v>46267</v>
      </c>
      <c r="B65" s="5">
        <v>360000</v>
      </c>
    </row>
    <row r="66" spans="1:2">
      <c r="A66" s="21">
        <v>46268</v>
      </c>
      <c r="B66" s="5">
        <v>18590602.800000001</v>
      </c>
    </row>
    <row r="67" spans="1:2">
      <c r="A67" s="21">
        <v>46270</v>
      </c>
      <c r="B67" s="5">
        <v>629375.69999999995</v>
      </c>
    </row>
    <row r="68" spans="1:2">
      <c r="A68" s="21">
        <v>46298</v>
      </c>
      <c r="B68" s="5">
        <v>248120.28</v>
      </c>
    </row>
    <row r="69" spans="1:2">
      <c r="A69" s="21">
        <v>46299</v>
      </c>
      <c r="B69" s="5">
        <v>2980927.08</v>
      </c>
    </row>
    <row r="70" spans="1:2">
      <c r="A70" s="21">
        <v>46300</v>
      </c>
      <c r="B70" s="5">
        <v>0</v>
      </c>
    </row>
    <row r="71" spans="1:2">
      <c r="A71" s="21">
        <v>46329</v>
      </c>
      <c r="B71" s="5">
        <v>1496666.16</v>
      </c>
    </row>
    <row r="72" spans="1:2">
      <c r="A72" s="21">
        <v>46331</v>
      </c>
      <c r="B72" s="5">
        <v>13179060.640000001</v>
      </c>
    </row>
    <row r="73" spans="1:2">
      <c r="A73" s="21">
        <v>46357</v>
      </c>
      <c r="B73" s="5">
        <v>11111095.76</v>
      </c>
    </row>
    <row r="74" spans="1:2">
      <c r="A74" s="21">
        <v>46359</v>
      </c>
      <c r="B74" s="5">
        <v>5041704.540000001</v>
      </c>
    </row>
    <row r="75" spans="1:2">
      <c r="A75" s="11" t="s">
        <v>1009</v>
      </c>
      <c r="B75" s="5">
        <v>459246014.82000005</v>
      </c>
    </row>
  </sheetData>
  <mergeCells count="2">
    <mergeCell ref="A1:Q1"/>
    <mergeCell ref="A2:Q2"/>
  </mergeCell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B21" sqref="B21"/>
    </sheetView>
  </sheetViews>
  <sheetFormatPr defaultRowHeight="14.4"/>
  <cols>
    <col min="1" max="1" width="30.33203125" customWidth="1"/>
    <col min="2" max="2" width="34" customWidth="1"/>
  </cols>
  <sheetData>
    <row r="1" spans="1:11" ht="18">
      <c r="A1" s="13" t="s">
        <v>1068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>
      <c r="A3" s="3" t="s">
        <v>1008</v>
      </c>
      <c r="B3" t="s">
        <v>1011</v>
      </c>
    </row>
    <row r="4" spans="1:11">
      <c r="A4" s="4" t="s">
        <v>1012</v>
      </c>
      <c r="B4" s="5">
        <v>323467745.79000014</v>
      </c>
    </row>
    <row r="5" spans="1:11">
      <c r="A5" s="4" t="s">
        <v>1015</v>
      </c>
      <c r="B5" s="5">
        <v>84028701.089999989</v>
      </c>
    </row>
    <row r="6" spans="1:11">
      <c r="A6" s="4" t="s">
        <v>1014</v>
      </c>
      <c r="B6" s="5">
        <v>32822454.02</v>
      </c>
    </row>
    <row r="7" spans="1:11">
      <c r="A7" s="4" t="s">
        <v>1016</v>
      </c>
      <c r="B7" s="5">
        <v>17781257.920000002</v>
      </c>
    </row>
    <row r="8" spans="1:11">
      <c r="A8" s="4" t="s">
        <v>1013</v>
      </c>
      <c r="B8" s="5">
        <v>1145856</v>
      </c>
    </row>
    <row r="9" spans="1:11">
      <c r="A9" s="4" t="s">
        <v>1009</v>
      </c>
      <c r="B9" s="5">
        <v>459246014.82000011</v>
      </c>
    </row>
  </sheetData>
  <mergeCells count="2">
    <mergeCell ref="A1:K1"/>
    <mergeCell ref="A2:K2"/>
  </mergeCells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E21" sqref="E21"/>
    </sheetView>
  </sheetViews>
  <sheetFormatPr defaultRowHeight="14.4"/>
  <cols>
    <col min="1" max="1" width="26.21875" bestFit="1" customWidth="1"/>
    <col min="2" max="2" width="18.5546875" bestFit="1" customWidth="1"/>
    <col min="3" max="3" width="10.88671875" customWidth="1"/>
    <col min="4" max="4" width="20.109375" bestFit="1" customWidth="1"/>
    <col min="5" max="5" width="7.33203125" customWidth="1"/>
    <col min="6" max="6" width="7.77734375" customWidth="1"/>
    <col min="7" max="7" width="8.5546875" customWidth="1"/>
    <col min="8" max="8" width="11" customWidth="1"/>
    <col min="9" max="9" width="10" customWidth="1"/>
    <col min="10" max="10" width="11" bestFit="1" customWidth="1"/>
    <col min="11" max="11" width="10" bestFit="1" customWidth="1"/>
  </cols>
  <sheetData>
    <row r="1" spans="1:9" ht="18">
      <c r="A1" s="13" t="s">
        <v>1069</v>
      </c>
      <c r="B1" s="13"/>
      <c r="C1" s="13"/>
      <c r="D1" s="13"/>
      <c r="E1" s="13"/>
      <c r="F1" s="13"/>
      <c r="G1" s="13"/>
      <c r="H1" s="13"/>
      <c r="I1" s="13"/>
    </row>
    <row r="2" spans="1:9">
      <c r="A2" s="12"/>
      <c r="B2" s="12"/>
      <c r="C2" s="12"/>
      <c r="D2" s="12"/>
      <c r="E2" s="12"/>
      <c r="F2" s="12"/>
      <c r="G2" s="12"/>
      <c r="H2" s="12"/>
      <c r="I2" s="12"/>
    </row>
    <row r="3" spans="1:9">
      <c r="A3" s="3" t="s">
        <v>1017</v>
      </c>
      <c r="B3" s="3" t="s">
        <v>1019</v>
      </c>
    </row>
    <row r="4" spans="1:9">
      <c r="A4" s="3" t="s">
        <v>1008</v>
      </c>
      <c r="B4" t="s">
        <v>40</v>
      </c>
      <c r="C4" t="s">
        <v>66</v>
      </c>
      <c r="D4" t="s">
        <v>112</v>
      </c>
      <c r="E4" t="s">
        <v>119</v>
      </c>
      <c r="F4" t="s">
        <v>330</v>
      </c>
      <c r="G4" t="s">
        <v>535</v>
      </c>
      <c r="H4" t="s">
        <v>24</v>
      </c>
      <c r="I4" t="s">
        <v>1009</v>
      </c>
    </row>
    <row r="5" spans="1:9">
      <c r="A5" s="4" t="s">
        <v>1012</v>
      </c>
      <c r="B5" s="10">
        <v>0.48327137546468402</v>
      </c>
      <c r="C5" s="10">
        <v>9.2936802973977689E-2</v>
      </c>
      <c r="D5" s="10">
        <v>2.9739776951672861E-2</v>
      </c>
      <c r="E5" s="10">
        <v>0.13011152416356878</v>
      </c>
      <c r="F5" s="10">
        <v>7.0631970260223054E-2</v>
      </c>
      <c r="G5" s="10">
        <v>1.4869888475836431E-2</v>
      </c>
      <c r="H5" s="10">
        <v>0.17843866171003717</v>
      </c>
      <c r="I5" s="10">
        <v>1</v>
      </c>
    </row>
    <row r="6" spans="1:9">
      <c r="A6" s="4" t="s">
        <v>1013</v>
      </c>
      <c r="B6" s="10">
        <v>0</v>
      </c>
      <c r="C6" s="10">
        <v>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1</v>
      </c>
    </row>
    <row r="7" spans="1:9">
      <c r="A7" s="4" t="s">
        <v>1014</v>
      </c>
      <c r="B7" s="10">
        <v>0.13333333333333333</v>
      </c>
      <c r="C7" s="10">
        <v>0</v>
      </c>
      <c r="D7" s="10">
        <v>3.3333333333333333E-2</v>
      </c>
      <c r="E7" s="10">
        <v>0.53333333333333333</v>
      </c>
      <c r="F7" s="10">
        <v>0.13333333333333333</v>
      </c>
      <c r="G7" s="10">
        <v>3.3333333333333333E-2</v>
      </c>
      <c r="H7" s="10">
        <v>0.13333333333333333</v>
      </c>
      <c r="I7" s="10">
        <v>1</v>
      </c>
    </row>
    <row r="8" spans="1:9">
      <c r="A8" s="4" t="s">
        <v>1015</v>
      </c>
      <c r="B8" s="10">
        <v>0.22077922077922077</v>
      </c>
      <c r="C8" s="10">
        <v>0.24675324675324675</v>
      </c>
      <c r="D8" s="10">
        <v>0.19480519480519481</v>
      </c>
      <c r="E8" s="10">
        <v>0.14285714285714285</v>
      </c>
      <c r="F8" s="10">
        <v>6.4935064935064929E-2</v>
      </c>
      <c r="G8" s="10">
        <v>2.5974025974025976E-2</v>
      </c>
      <c r="H8" s="10">
        <v>0.1038961038961039</v>
      </c>
      <c r="I8" s="10">
        <v>1</v>
      </c>
    </row>
    <row r="9" spans="1:9">
      <c r="A9" s="4" t="s">
        <v>1016</v>
      </c>
      <c r="B9" s="10">
        <v>0.15151515151515152</v>
      </c>
      <c r="C9" s="10">
        <v>0.12121212121212122</v>
      </c>
      <c r="D9" s="10">
        <v>0.12121212121212122</v>
      </c>
      <c r="E9" s="10">
        <v>0.24242424242424243</v>
      </c>
      <c r="F9" s="10">
        <v>6.0606060606060608E-2</v>
      </c>
      <c r="G9" s="10">
        <v>0.18181818181818182</v>
      </c>
      <c r="H9" s="10">
        <v>0.12121212121212122</v>
      </c>
      <c r="I9" s="10">
        <v>1</v>
      </c>
    </row>
    <row r="10" spans="1:9">
      <c r="A10" s="4" t="s">
        <v>1009</v>
      </c>
      <c r="B10" s="10">
        <v>0.37772397094430993</v>
      </c>
      <c r="C10" s="10">
        <v>0.12590799031476999</v>
      </c>
      <c r="D10" s="10">
        <v>6.7796610169491525E-2</v>
      </c>
      <c r="E10" s="10">
        <v>0.16949152542372881</v>
      </c>
      <c r="F10" s="10">
        <v>7.2639225181598058E-2</v>
      </c>
      <c r="G10" s="10">
        <v>3.1476997578692496E-2</v>
      </c>
      <c r="H10" s="10">
        <v>0.15496368038740921</v>
      </c>
      <c r="I10" s="10">
        <v>1</v>
      </c>
    </row>
  </sheetData>
  <mergeCells count="2">
    <mergeCell ref="A1:I1"/>
    <mergeCell ref="A2:I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7" sqref="B7"/>
    </sheetView>
  </sheetViews>
  <sheetFormatPr defaultRowHeight="14.4"/>
  <cols>
    <col min="1" max="1" width="19.21875" customWidth="1"/>
    <col min="2" max="2" width="26.21875" bestFit="1" customWidth="1"/>
    <col min="3" max="3" width="27.88671875" customWidth="1"/>
    <col min="4" max="4" width="26.21875" customWidth="1"/>
    <col min="5" max="5" width="29.6640625" customWidth="1"/>
  </cols>
  <sheetData>
    <row r="1" spans="1:4" ht="18">
      <c r="A1" s="13" t="s">
        <v>1070</v>
      </c>
      <c r="B1" s="13"/>
      <c r="C1" s="13"/>
    </row>
    <row r="2" spans="1:4">
      <c r="A2" s="12"/>
      <c r="B2" s="12"/>
      <c r="C2" s="12"/>
    </row>
    <row r="3" spans="1:4">
      <c r="A3" s="3" t="s">
        <v>1008</v>
      </c>
      <c r="B3" t="s">
        <v>1017</v>
      </c>
      <c r="C3" s="16" t="s">
        <v>1041</v>
      </c>
      <c r="D3" s="7"/>
    </row>
    <row r="4" spans="1:4">
      <c r="A4" s="4" t="s">
        <v>40</v>
      </c>
      <c r="B4" s="5">
        <v>156</v>
      </c>
      <c r="C4" s="6">
        <f>154/411</f>
        <v>0.37469586374695862</v>
      </c>
    </row>
    <row r="5" spans="1:4">
      <c r="A5" s="4" t="s">
        <v>66</v>
      </c>
      <c r="B5" s="5">
        <v>52</v>
      </c>
      <c r="C5" s="6">
        <f>52/411</f>
        <v>0.12652068126520682</v>
      </c>
    </row>
    <row r="6" spans="1:4">
      <c r="A6" s="4" t="s">
        <v>112</v>
      </c>
      <c r="B6" s="5">
        <v>28</v>
      </c>
      <c r="C6" s="6">
        <f>28/411</f>
        <v>6.8126520681265207E-2</v>
      </c>
    </row>
    <row r="7" spans="1:4">
      <c r="A7" s="4" t="s">
        <v>119</v>
      </c>
      <c r="B7" s="5">
        <v>70</v>
      </c>
      <c r="C7" s="6">
        <f>70/411</f>
        <v>0.170316301703163</v>
      </c>
    </row>
    <row r="8" spans="1:4">
      <c r="A8" s="4" t="s">
        <v>330</v>
      </c>
      <c r="B8" s="5">
        <v>30</v>
      </c>
      <c r="C8" s="6">
        <f>30/411</f>
        <v>7.2992700729927001E-2</v>
      </c>
    </row>
    <row r="9" spans="1:4">
      <c r="A9" s="4" t="s">
        <v>535</v>
      </c>
      <c r="B9" s="5">
        <v>13</v>
      </c>
      <c r="C9" s="6">
        <f>13/411</f>
        <v>3.1630170316301706E-2</v>
      </c>
    </row>
    <row r="10" spans="1:4">
      <c r="A10" s="4" t="s">
        <v>24</v>
      </c>
      <c r="B10" s="5">
        <v>64</v>
      </c>
      <c r="C10" s="6">
        <f>64/411</f>
        <v>0.15571776155717762</v>
      </c>
    </row>
    <row r="11" spans="1:4">
      <c r="A11" s="4" t="s">
        <v>1009</v>
      </c>
      <c r="B11" s="5">
        <v>413</v>
      </c>
    </row>
  </sheetData>
  <mergeCells count="2">
    <mergeCell ref="A1:C1"/>
    <mergeCell ref="A2:C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5" sqref="B5"/>
    </sheetView>
  </sheetViews>
  <sheetFormatPr defaultRowHeight="14.4"/>
  <cols>
    <col min="1" max="1" width="43.33203125" customWidth="1"/>
    <col min="2" max="2" width="45.6640625" customWidth="1"/>
  </cols>
  <sheetData>
    <row r="1" spans="1:2" ht="18">
      <c r="A1" s="13" t="s">
        <v>1071</v>
      </c>
      <c r="B1" s="13"/>
    </row>
    <row r="2" spans="1:2">
      <c r="A2" s="12"/>
      <c r="B2" s="12"/>
    </row>
    <row r="3" spans="1:2">
      <c r="A3" s="3" t="s">
        <v>1008</v>
      </c>
      <c r="B3" t="s">
        <v>1020</v>
      </c>
    </row>
    <row r="4" spans="1:2">
      <c r="A4" s="4" t="s">
        <v>23</v>
      </c>
      <c r="B4" s="9">
        <v>700902.29384615365</v>
      </c>
    </row>
    <row r="5" spans="1:2">
      <c r="A5" s="4" t="s">
        <v>82</v>
      </c>
      <c r="B5" s="9">
        <v>1978739.1428000005</v>
      </c>
    </row>
    <row r="6" spans="1:2">
      <c r="A6" s="4" t="s">
        <v>583</v>
      </c>
      <c r="B6" s="9">
        <v>72720</v>
      </c>
    </row>
    <row r="7" spans="1:2">
      <c r="A7" s="4" t="s">
        <v>39</v>
      </c>
      <c r="B7" s="9">
        <v>1322940.2065217386</v>
      </c>
    </row>
    <row r="8" spans="1:2">
      <c r="A8" s="4" t="s">
        <v>49</v>
      </c>
      <c r="B8" s="9">
        <v>372473.03419354843</v>
      </c>
    </row>
    <row r="9" spans="1:2">
      <c r="A9" s="4" t="s">
        <v>190</v>
      </c>
      <c r="B9" s="9">
        <v>36000</v>
      </c>
    </row>
    <row r="10" spans="1:2">
      <c r="A10" s="4" t="s">
        <v>1009</v>
      </c>
      <c r="B10" s="9">
        <v>1121946.2465036681</v>
      </c>
    </row>
  </sheetData>
  <mergeCells count="2">
    <mergeCell ref="A1:B1"/>
    <mergeCell ref="A2:B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8" sqref="B8"/>
    </sheetView>
  </sheetViews>
  <sheetFormatPr defaultRowHeight="14.4"/>
  <cols>
    <col min="1" max="1" width="35.6640625" customWidth="1"/>
    <col min="2" max="2" width="45.109375" customWidth="1"/>
    <col min="3" max="3" width="12" bestFit="1" customWidth="1"/>
    <col min="4" max="4" width="20.109375" bestFit="1" customWidth="1"/>
    <col min="5" max="6" width="12" bestFit="1" customWidth="1"/>
    <col min="7" max="7" width="11" bestFit="1" customWidth="1"/>
    <col min="8" max="9" width="12" bestFit="1" customWidth="1"/>
  </cols>
  <sheetData>
    <row r="1" spans="1:2" ht="18">
      <c r="A1" s="13" t="s">
        <v>1072</v>
      </c>
      <c r="B1" s="13"/>
    </row>
    <row r="2" spans="1:2">
      <c r="A2" s="12"/>
      <c r="B2" s="12"/>
    </row>
    <row r="3" spans="1:2">
      <c r="A3" s="3" t="s">
        <v>6</v>
      </c>
      <c r="B3" s="29" t="s">
        <v>40</v>
      </c>
    </row>
    <row r="4" spans="1:2">
      <c r="A4" s="12"/>
      <c r="B4" s="12"/>
    </row>
    <row r="5" spans="1:2">
      <c r="A5" s="3" t="s">
        <v>1008</v>
      </c>
      <c r="B5" t="s">
        <v>1011</v>
      </c>
    </row>
    <row r="6" spans="1:2">
      <c r="A6" s="4" t="s">
        <v>139</v>
      </c>
      <c r="B6" s="29">
        <v>47983987.109999992</v>
      </c>
    </row>
    <row r="7" spans="1:2">
      <c r="A7" s="4" t="s">
        <v>69</v>
      </c>
      <c r="B7" s="29">
        <v>41189740.490000002</v>
      </c>
    </row>
    <row r="8" spans="1:2">
      <c r="A8" s="4" t="s">
        <v>464</v>
      </c>
      <c r="B8" s="29">
        <v>21469826.199999996</v>
      </c>
    </row>
    <row r="9" spans="1:2">
      <c r="A9" s="4" t="s">
        <v>20</v>
      </c>
      <c r="B9" s="29">
        <v>14218958.850000001</v>
      </c>
    </row>
    <row r="10" spans="1:2">
      <c r="A10" s="4" t="s">
        <v>80</v>
      </c>
      <c r="B10" s="29">
        <v>10934110.129999999</v>
      </c>
    </row>
    <row r="11" spans="1:2">
      <c r="A11" s="4" t="s">
        <v>327</v>
      </c>
      <c r="B11" s="29">
        <v>9469999.379999999</v>
      </c>
    </row>
    <row r="12" spans="1:2">
      <c r="A12" s="4" t="s">
        <v>218</v>
      </c>
      <c r="B12" s="29">
        <v>6562156.5800000001</v>
      </c>
    </row>
    <row r="13" spans="1:2">
      <c r="A13" s="4" t="s">
        <v>1062</v>
      </c>
      <c r="B13" s="29">
        <v>5956171.4399999995</v>
      </c>
    </row>
    <row r="14" spans="1:2">
      <c r="A14" s="4" t="s">
        <v>386</v>
      </c>
      <c r="B14" s="29">
        <v>5564326.0800000001</v>
      </c>
    </row>
    <row r="15" spans="1:2">
      <c r="A15" s="4" t="s">
        <v>168</v>
      </c>
      <c r="B15" s="29">
        <v>5432008.0800000001</v>
      </c>
    </row>
    <row r="16" spans="1:2">
      <c r="A16" s="4" t="s">
        <v>1009</v>
      </c>
      <c r="B16" s="29">
        <v>168781284.33999997</v>
      </c>
    </row>
  </sheetData>
  <mergeCells count="3">
    <mergeCell ref="A2:B2"/>
    <mergeCell ref="A1:B1"/>
    <mergeCell ref="A4:B4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6" sqref="B6"/>
    </sheetView>
  </sheetViews>
  <sheetFormatPr defaultRowHeight="14.4"/>
  <cols>
    <col min="1" max="1" width="42.6640625" customWidth="1"/>
    <col min="2" max="2" width="67.88671875" customWidth="1"/>
  </cols>
  <sheetData>
    <row r="1" spans="1:2" ht="18">
      <c r="A1" s="13" t="s">
        <v>1073</v>
      </c>
      <c r="B1" s="13"/>
    </row>
    <row r="2" spans="1:2">
      <c r="A2" s="12"/>
      <c r="B2" s="12"/>
    </row>
    <row r="3" spans="1:2">
      <c r="A3" s="14" t="s">
        <v>1008</v>
      </c>
      <c r="B3" s="11" t="s">
        <v>1011</v>
      </c>
    </row>
    <row r="4" spans="1:2">
      <c r="A4" s="4" t="s">
        <v>66</v>
      </c>
      <c r="B4" s="5">
        <v>87059988.590000004</v>
      </c>
    </row>
    <row r="5" spans="1:2">
      <c r="A5" s="4" t="s">
        <v>112</v>
      </c>
      <c r="B5" s="5">
        <v>1305328</v>
      </c>
    </row>
    <row r="6" spans="1:2">
      <c r="A6" s="4" t="s">
        <v>119</v>
      </c>
      <c r="B6" s="5">
        <v>81656351.309999973</v>
      </c>
    </row>
    <row r="7" spans="1:2">
      <c r="A7" s="4" t="s">
        <v>330</v>
      </c>
      <c r="B7" s="5">
        <v>16941275.73</v>
      </c>
    </row>
    <row r="8" spans="1:2">
      <c r="A8" s="4" t="s">
        <v>535</v>
      </c>
      <c r="B8" s="5">
        <v>4186134.0200000005</v>
      </c>
    </row>
    <row r="9" spans="1:2">
      <c r="A9" s="4" t="s">
        <v>24</v>
      </c>
      <c r="B9" s="5">
        <v>72135628.979999989</v>
      </c>
    </row>
    <row r="10" spans="1:2">
      <c r="A10" s="4" t="s">
        <v>1009</v>
      </c>
      <c r="B10" s="5">
        <v>263284706.62999997</v>
      </c>
    </row>
    <row r="11" spans="1:2">
      <c r="A11" s="12"/>
      <c r="B11" s="12"/>
    </row>
  </sheetData>
  <mergeCells count="3">
    <mergeCell ref="A1:B1"/>
    <mergeCell ref="A2:B2"/>
    <mergeCell ref="A11:B11"/>
  </mergeCell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zoomScale="87" workbookViewId="0">
      <selection activeCell="F25" sqref="F25"/>
    </sheetView>
  </sheetViews>
  <sheetFormatPr defaultRowHeight="14.4"/>
  <cols>
    <col min="1" max="1" width="25.109375" customWidth="1"/>
    <col min="2" max="2" width="39.77734375" customWidth="1"/>
    <col min="3" max="3" width="37.77734375" customWidth="1"/>
    <col min="4" max="4" width="42.77734375" customWidth="1"/>
  </cols>
  <sheetData>
    <row r="1" spans="1:4" ht="18">
      <c r="A1" s="13" t="s">
        <v>1024</v>
      </c>
      <c r="B1" s="13"/>
      <c r="C1" s="13"/>
      <c r="D1" s="13"/>
    </row>
    <row r="2" spans="1:4">
      <c r="A2" s="12"/>
      <c r="B2" s="12"/>
      <c r="C2" s="12"/>
      <c r="D2" s="12"/>
    </row>
    <row r="3" spans="1:4">
      <c r="A3" s="3" t="s">
        <v>1011</v>
      </c>
      <c r="B3" s="3" t="s">
        <v>1019</v>
      </c>
    </row>
    <row r="4" spans="1:4">
      <c r="A4" s="3" t="s">
        <v>1008</v>
      </c>
      <c r="B4" t="s">
        <v>1022</v>
      </c>
      <c r="C4" t="s">
        <v>1023</v>
      </c>
      <c r="D4" t="s">
        <v>1009</v>
      </c>
    </row>
    <row r="5" spans="1:4">
      <c r="A5" s="4" t="s">
        <v>1025</v>
      </c>
      <c r="B5" s="5">
        <v>5771869.5999999996</v>
      </c>
      <c r="C5" s="5">
        <v>44376233.260000013</v>
      </c>
      <c r="D5" s="5">
        <v>50148102.860000014</v>
      </c>
    </row>
    <row r="6" spans="1:4">
      <c r="A6" s="4" t="s">
        <v>1026</v>
      </c>
      <c r="B6" s="5">
        <v>23413715.059999995</v>
      </c>
      <c r="C6" s="5">
        <v>46456204.020000003</v>
      </c>
      <c r="D6" s="5">
        <v>69869919.079999998</v>
      </c>
    </row>
    <row r="7" spans="1:4">
      <c r="A7" s="4" t="s">
        <v>1027</v>
      </c>
      <c r="B7" s="5">
        <v>1172867.92</v>
      </c>
      <c r="C7" s="5">
        <v>33360413.160000004</v>
      </c>
      <c r="D7" s="5">
        <v>34533281.080000006</v>
      </c>
    </row>
    <row r="8" spans="1:4">
      <c r="A8" s="4" t="s">
        <v>1028</v>
      </c>
      <c r="B8" s="5">
        <v>17320564.940000001</v>
      </c>
      <c r="C8" s="5">
        <v>59704856.340000018</v>
      </c>
      <c r="D8" s="5">
        <v>77025421.280000016</v>
      </c>
    </row>
    <row r="9" spans="1:4">
      <c r="A9" s="4" t="s">
        <v>1029</v>
      </c>
      <c r="B9" s="5">
        <v>60203732.539999992</v>
      </c>
      <c r="C9" s="5">
        <v>43449035.680000007</v>
      </c>
      <c r="D9" s="5">
        <v>103652768.22</v>
      </c>
    </row>
    <row r="10" spans="1:4">
      <c r="A10" s="4" t="s">
        <v>1030</v>
      </c>
      <c r="B10" s="5">
        <v>7627740.6400000006</v>
      </c>
      <c r="C10" s="5">
        <v>52762252.519999996</v>
      </c>
      <c r="D10" s="5">
        <v>60389993.159999996</v>
      </c>
    </row>
    <row r="11" spans="1:4">
      <c r="A11" s="4" t="s">
        <v>1031</v>
      </c>
      <c r="B11" s="5"/>
      <c r="C11" s="5">
        <v>8160919.8399999999</v>
      </c>
      <c r="D11" s="5">
        <v>8160919.8399999999</v>
      </c>
    </row>
    <row r="12" spans="1:4">
      <c r="A12" s="4" t="s">
        <v>1032</v>
      </c>
      <c r="B12" s="5">
        <v>300000</v>
      </c>
      <c r="C12" s="5">
        <v>15852800.300000003</v>
      </c>
      <c r="D12" s="5">
        <v>16152800.300000003</v>
      </c>
    </row>
    <row r="13" spans="1:4">
      <c r="A13" s="4" t="s">
        <v>1033</v>
      </c>
      <c r="B13" s="5">
        <v>40000</v>
      </c>
      <c r="C13" s="5">
        <v>20070907.380000003</v>
      </c>
      <c r="D13" s="5">
        <v>20110907.380000003</v>
      </c>
    </row>
    <row r="14" spans="1:4">
      <c r="A14" s="4" t="s">
        <v>1034</v>
      </c>
      <c r="B14" s="5">
        <v>13179060.640000001</v>
      </c>
      <c r="C14" s="5">
        <v>1496666.16</v>
      </c>
      <c r="D14" s="5">
        <v>14675726.800000001</v>
      </c>
    </row>
    <row r="15" spans="1:4">
      <c r="A15" s="4" t="s">
        <v>1035</v>
      </c>
      <c r="B15" s="5">
        <v>3064927.08</v>
      </c>
      <c r="C15" s="5">
        <v>164120.28</v>
      </c>
      <c r="D15" s="5">
        <v>3229047.36</v>
      </c>
    </row>
    <row r="16" spans="1:4">
      <c r="A16" s="4" t="s">
        <v>1036</v>
      </c>
      <c r="B16" s="5">
        <v>1162684.6399999999</v>
      </c>
      <c r="C16" s="5">
        <v>134442.82</v>
      </c>
      <c r="D16" s="5">
        <v>1297127.46</v>
      </c>
    </row>
    <row r="17" spans="1:4">
      <c r="A17" s="4" t="s">
        <v>1009</v>
      </c>
      <c r="B17" s="5">
        <v>133257163.05999999</v>
      </c>
      <c r="C17" s="5">
        <v>325988851.75999999</v>
      </c>
      <c r="D17" s="5">
        <v>459246014.81999993</v>
      </c>
    </row>
    <row r="29" spans="1:4">
      <c r="A29" s="12"/>
      <c r="B29" s="12"/>
      <c r="C29" s="12"/>
      <c r="D29" s="12"/>
    </row>
    <row r="30" spans="1:4">
      <c r="A30" s="12"/>
      <c r="B30" s="12"/>
      <c r="C30" s="12"/>
      <c r="D30" s="12"/>
    </row>
  </sheetData>
  <mergeCells count="3">
    <mergeCell ref="A1:D1"/>
    <mergeCell ref="A2:D2"/>
    <mergeCell ref="A29:D30"/>
  </mergeCells>
  <pageMargins left="0.511811024" right="0.511811024" top="0.78740157499999996" bottom="0.78740157499999996" header="0.31496062000000002" footer="0.31496062000000002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D25" sqref="D25"/>
    </sheetView>
  </sheetViews>
  <sheetFormatPr defaultRowHeight="14.4"/>
  <cols>
    <col min="1" max="1" width="34.6640625" customWidth="1"/>
    <col min="2" max="2" width="20.33203125" customWidth="1"/>
    <col min="3" max="3" width="35.88671875" customWidth="1"/>
  </cols>
  <sheetData>
    <row r="1" spans="1:3" ht="18">
      <c r="A1" s="13" t="s">
        <v>1074</v>
      </c>
      <c r="B1" s="13"/>
      <c r="C1" s="13"/>
    </row>
    <row r="2" spans="1:3" ht="15.6">
      <c r="A2" s="32" t="s">
        <v>1037</v>
      </c>
      <c r="B2" s="8"/>
      <c r="C2" s="32" t="s">
        <v>1038</v>
      </c>
    </row>
    <row r="3" spans="1:3" ht="15.6">
      <c r="A3" s="32" t="s">
        <v>1039</v>
      </c>
      <c r="B3" s="8"/>
      <c r="C3" s="33" t="s">
        <v>1040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D14" sqref="D14"/>
    </sheetView>
  </sheetViews>
  <sheetFormatPr defaultRowHeight="14.4"/>
  <cols>
    <col min="1" max="1" width="27.5546875" customWidth="1"/>
    <col min="2" max="2" width="13" customWidth="1"/>
    <col min="3" max="3" width="35.5546875" customWidth="1"/>
  </cols>
  <sheetData>
    <row r="1" spans="1:3" ht="18">
      <c r="A1" s="13" t="s">
        <v>1075</v>
      </c>
      <c r="B1" s="13"/>
      <c r="C1" s="13"/>
    </row>
    <row r="2" spans="1:3">
      <c r="A2" s="14" t="s">
        <v>6</v>
      </c>
      <c r="B2" t="s">
        <v>40</v>
      </c>
      <c r="C2" s="8"/>
    </row>
    <row r="3" spans="1:3">
      <c r="A3" s="12"/>
      <c r="B3" s="12"/>
      <c r="C3" s="12"/>
    </row>
    <row r="4" spans="1:3">
      <c r="A4" s="11" t="s">
        <v>1011</v>
      </c>
      <c r="B4" s="15"/>
      <c r="C4" s="16" t="s">
        <v>1076</v>
      </c>
    </row>
    <row r="5" spans="1:3">
      <c r="A5" s="17">
        <v>195961308.18999997</v>
      </c>
      <c r="B5" s="11"/>
      <c r="C5" s="18">
        <f>195961308.2/154</f>
        <v>1272476.0272727271</v>
      </c>
    </row>
    <row r="6" spans="1:3">
      <c r="A6" s="31"/>
      <c r="B6" s="31"/>
      <c r="C6" s="31"/>
    </row>
    <row r="7" spans="1:3">
      <c r="A7" s="31"/>
      <c r="B7" s="31"/>
      <c r="C7" s="31"/>
    </row>
    <row r="8" spans="1:3">
      <c r="A8" s="31"/>
      <c r="B8" s="31"/>
      <c r="C8" s="31"/>
    </row>
  </sheetData>
  <mergeCells count="2">
    <mergeCell ref="A3:C3"/>
    <mergeCell ref="A1:C1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5"/>
  <sheetViews>
    <sheetView zoomScale="84" workbookViewId="0">
      <selection activeCell="C15" sqref="C15"/>
    </sheetView>
  </sheetViews>
  <sheetFormatPr defaultRowHeight="14.4"/>
  <cols>
    <col min="1" max="1" width="39.6640625" customWidth="1"/>
    <col min="2" max="2" width="43.5546875" style="19" customWidth="1"/>
    <col min="3" max="3" width="48.5546875" customWidth="1"/>
  </cols>
  <sheetData>
    <row r="1" spans="1:2" ht="18" customHeight="1">
      <c r="A1" s="22" t="s">
        <v>1077</v>
      </c>
      <c r="B1" s="22"/>
    </row>
    <row r="2" spans="1:2" ht="14.4" customHeight="1">
      <c r="A2" s="23"/>
      <c r="B2" s="23"/>
    </row>
    <row r="3" spans="1:2">
      <c r="A3" s="3" t="s">
        <v>1008</v>
      </c>
      <c r="B3" s="19" t="s">
        <v>1010</v>
      </c>
    </row>
    <row r="4" spans="1:2">
      <c r="A4" s="4" t="s">
        <v>18</v>
      </c>
      <c r="B4" s="19">
        <v>3043949.95</v>
      </c>
    </row>
    <row r="5" spans="1:2">
      <c r="A5" s="4" t="s">
        <v>34</v>
      </c>
      <c r="B5" s="24">
        <v>85000</v>
      </c>
    </row>
    <row r="6" spans="1:2">
      <c r="A6" s="4" t="s">
        <v>44</v>
      </c>
      <c r="B6" s="19">
        <v>40000</v>
      </c>
    </row>
    <row r="7" spans="1:2">
      <c r="A7" s="4" t="s">
        <v>52</v>
      </c>
      <c r="B7" s="19">
        <v>32226.34</v>
      </c>
    </row>
    <row r="8" spans="1:2">
      <c r="A8" s="4" t="s">
        <v>61</v>
      </c>
      <c r="B8" s="19">
        <v>30000</v>
      </c>
    </row>
    <row r="9" spans="1:2">
      <c r="A9" s="4" t="s">
        <v>67</v>
      </c>
      <c r="B9" s="19">
        <v>64258.47</v>
      </c>
    </row>
    <row r="10" spans="1:2">
      <c r="A10" s="4" t="s">
        <v>74</v>
      </c>
      <c r="B10" s="19">
        <v>490928.88</v>
      </c>
    </row>
    <row r="11" spans="1:2">
      <c r="A11" s="4" t="s">
        <v>78</v>
      </c>
      <c r="B11" s="19">
        <v>2706200.27</v>
      </c>
    </row>
    <row r="12" spans="1:2">
      <c r="A12" s="4" t="s">
        <v>86</v>
      </c>
      <c r="B12" s="19">
        <v>8047338.7199999997</v>
      </c>
    </row>
    <row r="13" spans="1:2">
      <c r="A13" s="4" t="s">
        <v>89</v>
      </c>
      <c r="B13" s="19">
        <v>33442.82</v>
      </c>
    </row>
    <row r="14" spans="1:2">
      <c r="A14" s="4" t="s">
        <v>92</v>
      </c>
      <c r="B14" s="19">
        <v>180000</v>
      </c>
    </row>
    <row r="15" spans="1:2">
      <c r="A15" s="4" t="s">
        <v>99</v>
      </c>
      <c r="B15" s="19">
        <v>222000</v>
      </c>
    </row>
    <row r="16" spans="1:2">
      <c r="A16" s="4" t="s">
        <v>107</v>
      </c>
    </row>
    <row r="17" spans="1:2">
      <c r="A17" s="4" t="s">
        <v>114</v>
      </c>
      <c r="B17" s="19">
        <v>47800.800000000003</v>
      </c>
    </row>
    <row r="18" spans="1:2">
      <c r="A18" s="4" t="s">
        <v>123</v>
      </c>
      <c r="B18" s="19">
        <v>106500</v>
      </c>
    </row>
    <row r="19" spans="1:2">
      <c r="A19" s="4" t="s">
        <v>129</v>
      </c>
      <c r="B19" s="19">
        <v>732596.04</v>
      </c>
    </row>
    <row r="20" spans="1:2">
      <c r="A20" s="4" t="s">
        <v>137</v>
      </c>
      <c r="B20" s="19">
        <v>1157087.3999999999</v>
      </c>
    </row>
    <row r="21" spans="1:2">
      <c r="A21" s="4" t="s">
        <v>143</v>
      </c>
      <c r="B21" s="19">
        <v>88500</v>
      </c>
    </row>
    <row r="22" spans="1:2">
      <c r="A22" s="4" t="s">
        <v>144</v>
      </c>
      <c r="B22" s="19">
        <v>42721.49</v>
      </c>
    </row>
    <row r="23" spans="1:2">
      <c r="A23" s="4" t="s">
        <v>151</v>
      </c>
      <c r="B23" s="19">
        <v>366989.64</v>
      </c>
    </row>
    <row r="24" spans="1:2">
      <c r="A24" s="4" t="s">
        <v>157</v>
      </c>
      <c r="B24" s="19">
        <v>4551785.4000000004</v>
      </c>
    </row>
    <row r="25" spans="1:2">
      <c r="A25" s="4" t="s">
        <v>160</v>
      </c>
      <c r="B25" s="19">
        <v>286200</v>
      </c>
    </row>
    <row r="26" spans="1:2">
      <c r="A26" s="4" t="s">
        <v>166</v>
      </c>
      <c r="B26" s="19">
        <v>1758176.04</v>
      </c>
    </row>
    <row r="27" spans="1:2">
      <c r="A27" s="4" t="s">
        <v>172</v>
      </c>
      <c r="B27" s="19">
        <v>593400</v>
      </c>
    </row>
    <row r="28" spans="1:2">
      <c r="A28" s="4" t="s">
        <v>179</v>
      </c>
      <c r="B28" s="19">
        <v>733504.44</v>
      </c>
    </row>
    <row r="29" spans="1:2">
      <c r="A29" s="4" t="s">
        <v>183</v>
      </c>
      <c r="B29" s="19">
        <v>247500</v>
      </c>
    </row>
    <row r="30" spans="1:2">
      <c r="A30" s="4" t="s">
        <v>186</v>
      </c>
      <c r="B30" s="19">
        <v>36000</v>
      </c>
    </row>
    <row r="31" spans="1:2">
      <c r="A31" s="4" t="s">
        <v>194</v>
      </c>
      <c r="B31" s="19">
        <v>112013.46</v>
      </c>
    </row>
    <row r="32" spans="1:2">
      <c r="A32" s="4" t="s">
        <v>196</v>
      </c>
      <c r="B32" s="19">
        <v>1653085.8</v>
      </c>
    </row>
    <row r="33" spans="1:2">
      <c r="A33" s="4" t="s">
        <v>200</v>
      </c>
      <c r="B33" s="19">
        <v>645420</v>
      </c>
    </row>
    <row r="34" spans="1:2">
      <c r="A34" s="4" t="s">
        <v>205</v>
      </c>
      <c r="B34" s="19">
        <v>1014586.08</v>
      </c>
    </row>
    <row r="35" spans="1:2">
      <c r="A35" s="4" t="s">
        <v>213</v>
      </c>
      <c r="B35" s="19">
        <v>722935.92</v>
      </c>
    </row>
    <row r="36" spans="1:2">
      <c r="A36" s="4" t="s">
        <v>215</v>
      </c>
      <c r="B36" s="19">
        <v>3208257.54</v>
      </c>
    </row>
    <row r="37" spans="1:2">
      <c r="A37" s="4" t="s">
        <v>216</v>
      </c>
      <c r="B37" s="19">
        <v>21044.400000000001</v>
      </c>
    </row>
    <row r="38" spans="1:2">
      <c r="A38" s="4" t="s">
        <v>220</v>
      </c>
      <c r="B38" s="19">
        <v>286464</v>
      </c>
    </row>
    <row r="39" spans="1:2">
      <c r="A39" s="4" t="s">
        <v>230</v>
      </c>
      <c r="B39" s="19">
        <v>1038355.7999999999</v>
      </c>
    </row>
    <row r="40" spans="1:2">
      <c r="A40" s="4" t="s">
        <v>236</v>
      </c>
      <c r="B40" s="19">
        <v>667166.55000000005</v>
      </c>
    </row>
    <row r="41" spans="1:2">
      <c r="A41" s="4" t="s">
        <v>241</v>
      </c>
      <c r="B41" s="19">
        <v>589446.40999999992</v>
      </c>
    </row>
    <row r="42" spans="1:2">
      <c r="A42" s="4" t="s">
        <v>247</v>
      </c>
      <c r="B42" s="19">
        <v>88063.48</v>
      </c>
    </row>
    <row r="43" spans="1:2">
      <c r="A43" s="4" t="s">
        <v>248</v>
      </c>
      <c r="B43" s="19">
        <v>253579.55</v>
      </c>
    </row>
    <row r="44" spans="1:2">
      <c r="A44" s="4" t="s">
        <v>254</v>
      </c>
      <c r="B44" s="19">
        <v>242040.36</v>
      </c>
    </row>
    <row r="45" spans="1:2">
      <c r="A45" s="4" t="s">
        <v>259</v>
      </c>
      <c r="B45" s="19">
        <v>429774</v>
      </c>
    </row>
    <row r="46" spans="1:2">
      <c r="A46" s="4" t="s">
        <v>266</v>
      </c>
      <c r="B46" s="19">
        <v>4260383.32</v>
      </c>
    </row>
    <row r="47" spans="1:2">
      <c r="A47" s="4" t="s">
        <v>264</v>
      </c>
      <c r="B47" s="19">
        <v>2518147.83</v>
      </c>
    </row>
    <row r="48" spans="1:2">
      <c r="A48" s="4" t="s">
        <v>270</v>
      </c>
      <c r="B48" s="19">
        <v>3785206.21</v>
      </c>
    </row>
    <row r="49" spans="1:2">
      <c r="A49" s="4" t="s">
        <v>276</v>
      </c>
      <c r="B49" s="19">
        <v>604944.24</v>
      </c>
    </row>
    <row r="50" spans="1:2">
      <c r="A50" s="4" t="s">
        <v>281</v>
      </c>
      <c r="B50" s="19">
        <v>175660.68</v>
      </c>
    </row>
    <row r="51" spans="1:2">
      <c r="A51" s="4" t="s">
        <v>286</v>
      </c>
      <c r="B51" s="19">
        <v>195525</v>
      </c>
    </row>
    <row r="52" spans="1:2">
      <c r="A52" s="4" t="s">
        <v>295</v>
      </c>
      <c r="B52" s="19">
        <v>1680000</v>
      </c>
    </row>
    <row r="53" spans="1:2">
      <c r="A53" s="4" t="s">
        <v>300</v>
      </c>
      <c r="B53" s="19">
        <v>6208423.2000000002</v>
      </c>
    </row>
    <row r="54" spans="1:2">
      <c r="A54" s="4" t="s">
        <v>302</v>
      </c>
      <c r="B54" s="19">
        <v>760000</v>
      </c>
    </row>
    <row r="55" spans="1:2">
      <c r="A55" s="4" t="s">
        <v>310</v>
      </c>
      <c r="B55" s="19">
        <v>517703.16</v>
      </c>
    </row>
    <row r="56" spans="1:2">
      <c r="A56" s="4" t="s">
        <v>317</v>
      </c>
      <c r="B56" s="19">
        <v>235251.12000000002</v>
      </c>
    </row>
    <row r="57" spans="1:2">
      <c r="A57" s="4" t="s">
        <v>320</v>
      </c>
      <c r="B57" s="19">
        <v>294537.34999999998</v>
      </c>
    </row>
    <row r="58" spans="1:2">
      <c r="A58" s="4" t="s">
        <v>325</v>
      </c>
      <c r="B58" s="19">
        <v>192000</v>
      </c>
    </row>
    <row r="59" spans="1:2">
      <c r="A59" s="4" t="s">
        <v>332</v>
      </c>
      <c r="B59" s="19">
        <v>234960</v>
      </c>
    </row>
    <row r="60" spans="1:2">
      <c r="A60" s="4" t="s">
        <v>337</v>
      </c>
      <c r="B60" s="19">
        <v>3015949.3200000003</v>
      </c>
    </row>
    <row r="61" spans="1:2">
      <c r="A61" s="4" t="s">
        <v>340</v>
      </c>
      <c r="B61" s="19">
        <v>2627267.83</v>
      </c>
    </row>
    <row r="62" spans="1:2">
      <c r="A62" s="4" t="s">
        <v>349</v>
      </c>
      <c r="B62" s="19">
        <v>490082.16</v>
      </c>
    </row>
    <row r="63" spans="1:2">
      <c r="A63" s="4" t="s">
        <v>351</v>
      </c>
      <c r="B63" s="19">
        <v>993642.36</v>
      </c>
    </row>
    <row r="64" spans="1:2">
      <c r="A64" s="4" t="s">
        <v>359</v>
      </c>
      <c r="B64" s="19">
        <v>358921.88</v>
      </c>
    </row>
    <row r="65" spans="1:2">
      <c r="A65" s="4" t="s">
        <v>361</v>
      </c>
      <c r="B65" s="19">
        <v>10000</v>
      </c>
    </row>
    <row r="66" spans="1:2">
      <c r="A66" s="4" t="s">
        <v>362</v>
      </c>
      <c r="B66" s="19">
        <v>38183.32</v>
      </c>
    </row>
    <row r="67" spans="1:2">
      <c r="A67" s="4" t="s">
        <v>363</v>
      </c>
      <c r="B67" s="19">
        <v>4235159.34</v>
      </c>
    </row>
    <row r="68" spans="1:2">
      <c r="A68" s="4" t="s">
        <v>365</v>
      </c>
      <c r="B68" s="19">
        <v>300000</v>
      </c>
    </row>
    <row r="69" spans="1:2">
      <c r="A69" s="4" t="s">
        <v>369</v>
      </c>
      <c r="B69" s="19">
        <v>1546078.5599999998</v>
      </c>
    </row>
    <row r="70" spans="1:2">
      <c r="A70" s="4" t="s">
        <v>373</v>
      </c>
      <c r="B70" s="19">
        <v>940468.92</v>
      </c>
    </row>
    <row r="71" spans="1:2">
      <c r="A71" s="4" t="s">
        <v>377</v>
      </c>
      <c r="B71" s="19">
        <v>10992.1</v>
      </c>
    </row>
    <row r="72" spans="1:2">
      <c r="A72" s="4" t="s">
        <v>382</v>
      </c>
      <c r="B72" s="19">
        <v>996914.04</v>
      </c>
    </row>
    <row r="73" spans="1:2">
      <c r="A73" s="4" t="s">
        <v>390</v>
      </c>
      <c r="B73" s="19">
        <v>594455.31000000006</v>
      </c>
    </row>
    <row r="74" spans="1:2">
      <c r="A74" s="4" t="s">
        <v>384</v>
      </c>
      <c r="B74" s="19">
        <v>1818447</v>
      </c>
    </row>
    <row r="75" spans="1:2">
      <c r="A75" s="4" t="s">
        <v>391</v>
      </c>
      <c r="B75" s="19">
        <v>6770269.9100000001</v>
      </c>
    </row>
    <row r="76" spans="1:2">
      <c r="A76" s="4" t="s">
        <v>395</v>
      </c>
      <c r="B76" s="19">
        <v>76299</v>
      </c>
    </row>
    <row r="77" spans="1:2">
      <c r="A77" s="4" t="s">
        <v>392</v>
      </c>
      <c r="B77" s="19">
        <v>1545188.16</v>
      </c>
    </row>
    <row r="78" spans="1:2">
      <c r="A78" s="4" t="s">
        <v>396</v>
      </c>
      <c r="B78" s="19">
        <v>228000</v>
      </c>
    </row>
    <row r="79" spans="1:2">
      <c r="A79" s="4" t="s">
        <v>397</v>
      </c>
      <c r="B79" s="19">
        <v>10784</v>
      </c>
    </row>
    <row r="80" spans="1:2">
      <c r="A80" s="4" t="s">
        <v>398</v>
      </c>
      <c r="B80" s="19">
        <v>143100</v>
      </c>
    </row>
    <row r="81" spans="1:2">
      <c r="A81" s="4" t="s">
        <v>400</v>
      </c>
      <c r="B81" s="19">
        <v>44031.74</v>
      </c>
    </row>
    <row r="82" spans="1:2">
      <c r="A82" s="4" t="s">
        <v>401</v>
      </c>
      <c r="B82" s="19">
        <v>108985.08</v>
      </c>
    </row>
    <row r="83" spans="1:2">
      <c r="A83" s="4" t="s">
        <v>402</v>
      </c>
      <c r="B83" s="19">
        <v>39230.949999999997</v>
      </c>
    </row>
    <row r="84" spans="1:2">
      <c r="A84" s="4" t="s">
        <v>404</v>
      </c>
      <c r="B84" s="19">
        <v>120000</v>
      </c>
    </row>
    <row r="85" spans="1:2">
      <c r="A85" s="4" t="s">
        <v>406</v>
      </c>
      <c r="B85" s="19">
        <v>60000</v>
      </c>
    </row>
    <row r="86" spans="1:2">
      <c r="A86" s="4" t="s">
        <v>408</v>
      </c>
      <c r="B86" s="19">
        <v>7943.76</v>
      </c>
    </row>
    <row r="87" spans="1:2">
      <c r="A87" s="4" t="s">
        <v>410</v>
      </c>
      <c r="B87" s="19">
        <v>45500</v>
      </c>
    </row>
    <row r="88" spans="1:2">
      <c r="A88" s="4" t="s">
        <v>411</v>
      </c>
      <c r="B88" s="19">
        <v>134323.20000000001</v>
      </c>
    </row>
    <row r="89" spans="1:2">
      <c r="A89" s="4" t="s">
        <v>416</v>
      </c>
      <c r="B89" s="19">
        <v>10</v>
      </c>
    </row>
    <row r="90" spans="1:2">
      <c r="A90" s="4" t="s">
        <v>419</v>
      </c>
      <c r="B90" s="19">
        <v>120000</v>
      </c>
    </row>
    <row r="91" spans="1:2">
      <c r="A91" s="4" t="s">
        <v>423</v>
      </c>
      <c r="B91" s="19">
        <v>5000</v>
      </c>
    </row>
    <row r="92" spans="1:2">
      <c r="A92" s="4" t="s">
        <v>425</v>
      </c>
      <c r="B92" s="19">
        <v>520000</v>
      </c>
    </row>
    <row r="93" spans="1:2">
      <c r="A93" s="4" t="s">
        <v>429</v>
      </c>
      <c r="B93" s="19">
        <v>2132708.1</v>
      </c>
    </row>
    <row r="94" spans="1:2">
      <c r="A94" s="4" t="s">
        <v>432</v>
      </c>
      <c r="B94" s="19">
        <v>3156666.46</v>
      </c>
    </row>
    <row r="95" spans="1:2">
      <c r="A95" s="4" t="s">
        <v>438</v>
      </c>
      <c r="B95" s="19">
        <v>492000</v>
      </c>
    </row>
    <row r="96" spans="1:2">
      <c r="A96" s="4" t="s">
        <v>439</v>
      </c>
      <c r="B96" s="19">
        <v>391800</v>
      </c>
    </row>
    <row r="97" spans="1:2">
      <c r="A97" s="4" t="s">
        <v>443</v>
      </c>
      <c r="B97" s="19">
        <v>297244.79999999999</v>
      </c>
    </row>
    <row r="98" spans="1:2">
      <c r="A98" s="4" t="s">
        <v>444</v>
      </c>
      <c r="B98" s="19">
        <v>1200000</v>
      </c>
    </row>
    <row r="99" spans="1:2">
      <c r="A99" s="4" t="s">
        <v>447</v>
      </c>
      <c r="B99" s="19">
        <v>30051.61</v>
      </c>
    </row>
    <row r="100" spans="1:2">
      <c r="A100" s="4" t="s">
        <v>452</v>
      </c>
      <c r="B100" s="19">
        <v>1410000</v>
      </c>
    </row>
    <row r="101" spans="1:2">
      <c r="A101" s="4" t="s">
        <v>459</v>
      </c>
      <c r="B101" s="19">
        <v>500000</v>
      </c>
    </row>
    <row r="102" spans="1:2">
      <c r="A102" s="4" t="s">
        <v>462</v>
      </c>
      <c r="B102" s="19">
        <v>4293965.24</v>
      </c>
    </row>
    <row r="103" spans="1:2">
      <c r="A103" s="4" t="s">
        <v>470</v>
      </c>
      <c r="B103" s="19">
        <v>17899</v>
      </c>
    </row>
    <row r="104" spans="1:2">
      <c r="A104" s="4" t="s">
        <v>473</v>
      </c>
      <c r="B104" s="19">
        <v>157479.96</v>
      </c>
    </row>
    <row r="105" spans="1:2">
      <c r="A105" s="4" t="s">
        <v>476</v>
      </c>
      <c r="B105" s="19">
        <v>299999.59999999998</v>
      </c>
    </row>
    <row r="106" spans="1:2">
      <c r="A106" s="4" t="s">
        <v>474</v>
      </c>
      <c r="B106" s="19">
        <v>65038.05</v>
      </c>
    </row>
    <row r="107" spans="1:2">
      <c r="A107" s="4" t="s">
        <v>475</v>
      </c>
      <c r="B107" s="19">
        <v>144000</v>
      </c>
    </row>
    <row r="108" spans="1:2">
      <c r="A108" s="4" t="s">
        <v>481</v>
      </c>
      <c r="B108" s="19">
        <v>151200</v>
      </c>
    </row>
    <row r="109" spans="1:2">
      <c r="A109" s="4" t="s">
        <v>478</v>
      </c>
      <c r="B109" s="19">
        <v>77204.399999999994</v>
      </c>
    </row>
    <row r="110" spans="1:2">
      <c r="A110" s="4" t="s">
        <v>485</v>
      </c>
      <c r="B110" s="19">
        <v>164120.28</v>
      </c>
    </row>
    <row r="111" spans="1:2">
      <c r="A111" s="4" t="s">
        <v>486</v>
      </c>
      <c r="B111" s="19">
        <v>75753.77</v>
      </c>
    </row>
    <row r="112" spans="1:2">
      <c r="A112" s="4" t="s">
        <v>488</v>
      </c>
      <c r="B112" s="19">
        <v>360655.14</v>
      </c>
    </row>
    <row r="113" spans="1:2">
      <c r="A113" s="4" t="s">
        <v>493</v>
      </c>
      <c r="B113" s="19">
        <v>4565828.57</v>
      </c>
    </row>
    <row r="114" spans="1:2">
      <c r="A114" s="4" t="s">
        <v>501</v>
      </c>
      <c r="B114" s="19">
        <v>90000</v>
      </c>
    </row>
    <row r="115" spans="1:2">
      <c r="A115" s="4" t="s">
        <v>503</v>
      </c>
      <c r="B115" s="19">
        <v>664386.76</v>
      </c>
    </row>
    <row r="116" spans="1:2">
      <c r="A116" s="4" t="s">
        <v>507</v>
      </c>
      <c r="B116" s="19">
        <v>29205.38</v>
      </c>
    </row>
    <row r="117" spans="1:2">
      <c r="A117" s="4" t="s">
        <v>508</v>
      </c>
      <c r="B117" s="19">
        <v>500000</v>
      </c>
    </row>
    <row r="118" spans="1:2">
      <c r="A118" s="4" t="s">
        <v>511</v>
      </c>
    </row>
    <row r="119" spans="1:2">
      <c r="A119" s="4" t="s">
        <v>513</v>
      </c>
      <c r="B119" s="19">
        <v>5000</v>
      </c>
    </row>
    <row r="120" spans="1:2">
      <c r="A120" s="4" t="s">
        <v>514</v>
      </c>
      <c r="B120" s="19">
        <v>11948.39</v>
      </c>
    </row>
    <row r="121" spans="1:2">
      <c r="A121" s="4" t="s">
        <v>516</v>
      </c>
      <c r="B121" s="19">
        <v>795900.24</v>
      </c>
    </row>
    <row r="122" spans="1:2">
      <c r="A122" s="4" t="s">
        <v>522</v>
      </c>
      <c r="B122" s="19">
        <v>97858.559999999998</v>
      </c>
    </row>
    <row r="123" spans="1:2">
      <c r="A123" s="4" t="s">
        <v>527</v>
      </c>
      <c r="B123" s="19">
        <v>58838.400000000001</v>
      </c>
    </row>
    <row r="124" spans="1:2">
      <c r="A124" s="4" t="s">
        <v>528</v>
      </c>
      <c r="B124" s="19">
        <v>252348</v>
      </c>
    </row>
    <row r="125" spans="1:2">
      <c r="A125" s="4" t="s">
        <v>533</v>
      </c>
    </row>
    <row r="126" spans="1:2">
      <c r="A126" s="4" t="s">
        <v>536</v>
      </c>
      <c r="B126" s="19">
        <v>50514.15</v>
      </c>
    </row>
    <row r="127" spans="1:2">
      <c r="A127" s="4" t="s">
        <v>542</v>
      </c>
      <c r="B127" s="19">
        <v>845252.85</v>
      </c>
    </row>
    <row r="128" spans="1:2">
      <c r="A128" s="4" t="s">
        <v>539</v>
      </c>
      <c r="B128" s="19">
        <v>362880</v>
      </c>
    </row>
    <row r="129" spans="1:2">
      <c r="A129" s="4" t="s">
        <v>545</v>
      </c>
      <c r="B129" s="19">
        <v>300000</v>
      </c>
    </row>
    <row r="130" spans="1:2">
      <c r="A130" s="4" t="s">
        <v>549</v>
      </c>
      <c r="B130" s="19">
        <v>24501.84</v>
      </c>
    </row>
    <row r="131" spans="1:2">
      <c r="A131" s="4" t="s">
        <v>550</v>
      </c>
      <c r="B131" s="19">
        <v>863424.8</v>
      </c>
    </row>
    <row r="132" spans="1:2">
      <c r="A132" s="4" t="s">
        <v>557</v>
      </c>
      <c r="B132" s="19">
        <v>32400</v>
      </c>
    </row>
    <row r="133" spans="1:2">
      <c r="A133" s="4" t="s">
        <v>571</v>
      </c>
      <c r="B133" s="19">
        <v>68000</v>
      </c>
    </row>
    <row r="134" spans="1:2">
      <c r="A134" s="4" t="s">
        <v>563</v>
      </c>
      <c r="B134" s="19">
        <v>1096669.2</v>
      </c>
    </row>
    <row r="135" spans="1:2">
      <c r="A135" s="4" t="s">
        <v>567</v>
      </c>
      <c r="B135" s="19">
        <v>800000</v>
      </c>
    </row>
    <row r="136" spans="1:2">
      <c r="A136" s="4" t="s">
        <v>573</v>
      </c>
      <c r="B136" s="19">
        <v>24000</v>
      </c>
    </row>
    <row r="137" spans="1:2">
      <c r="A137" s="4" t="s">
        <v>574</v>
      </c>
      <c r="B137" s="19">
        <v>1429074.0799999998</v>
      </c>
    </row>
    <row r="138" spans="1:2">
      <c r="A138" s="4" t="s">
        <v>582</v>
      </c>
      <c r="B138" s="19">
        <v>72720</v>
      </c>
    </row>
    <row r="139" spans="1:2">
      <c r="A139" s="4" t="s">
        <v>578</v>
      </c>
      <c r="B139" s="19">
        <v>208391.64</v>
      </c>
    </row>
    <row r="140" spans="1:2">
      <c r="A140" s="4" t="s">
        <v>585</v>
      </c>
      <c r="B140" s="19">
        <v>372818.4</v>
      </c>
    </row>
    <row r="141" spans="1:2">
      <c r="A141" s="4" t="s">
        <v>590</v>
      </c>
      <c r="B141" s="19">
        <v>144000</v>
      </c>
    </row>
    <row r="142" spans="1:2">
      <c r="A142" s="4" t="s">
        <v>594</v>
      </c>
      <c r="B142" s="19">
        <v>1184791</v>
      </c>
    </row>
    <row r="143" spans="1:2">
      <c r="A143" s="4" t="s">
        <v>601</v>
      </c>
      <c r="B143" s="19">
        <v>149540.79</v>
      </c>
    </row>
    <row r="144" spans="1:2">
      <c r="A144" s="4" t="s">
        <v>597</v>
      </c>
    </row>
    <row r="145" spans="1:2">
      <c r="A145" s="4" t="s">
        <v>605</v>
      </c>
      <c r="B145" s="19">
        <v>254376.21</v>
      </c>
    </row>
    <row r="146" spans="1:2">
      <c r="A146" s="4" t="s">
        <v>609</v>
      </c>
      <c r="B146" s="19">
        <v>694094.88</v>
      </c>
    </row>
    <row r="147" spans="1:2">
      <c r="A147" s="4" t="s">
        <v>614</v>
      </c>
      <c r="B147" s="19">
        <v>1926466.8000000003</v>
      </c>
    </row>
    <row r="148" spans="1:2">
      <c r="A148" s="4" t="s">
        <v>618</v>
      </c>
      <c r="B148" s="19">
        <v>456000</v>
      </c>
    </row>
    <row r="149" spans="1:2">
      <c r="A149" s="4" t="s">
        <v>623</v>
      </c>
      <c r="B149" s="19">
        <v>935328</v>
      </c>
    </row>
    <row r="150" spans="1:2">
      <c r="A150" s="4" t="s">
        <v>627</v>
      </c>
      <c r="B150" s="19">
        <v>1000704</v>
      </c>
    </row>
    <row r="151" spans="1:2">
      <c r="A151" s="4" t="s">
        <v>631</v>
      </c>
      <c r="B151" s="19">
        <v>2281464.96</v>
      </c>
    </row>
    <row r="152" spans="1:2">
      <c r="A152" s="4" t="s">
        <v>633</v>
      </c>
      <c r="B152" s="19">
        <v>646888.19999999995</v>
      </c>
    </row>
    <row r="153" spans="1:2">
      <c r="A153" s="4" t="s">
        <v>634</v>
      </c>
      <c r="B153" s="19">
        <v>601599.48</v>
      </c>
    </row>
    <row r="154" spans="1:2">
      <c r="A154" s="4" t="s">
        <v>639</v>
      </c>
      <c r="B154" s="19">
        <v>420</v>
      </c>
    </row>
    <row r="155" spans="1:2">
      <c r="A155" s="4" t="s">
        <v>641</v>
      </c>
      <c r="B155" s="19">
        <v>216000</v>
      </c>
    </row>
    <row r="156" spans="1:2">
      <c r="A156" s="4" t="s">
        <v>645</v>
      </c>
      <c r="B156" s="19">
        <v>84000</v>
      </c>
    </row>
    <row r="157" spans="1:2">
      <c r="A157" s="4" t="s">
        <v>649</v>
      </c>
      <c r="B157" s="19">
        <v>2344909.7999999998</v>
      </c>
    </row>
    <row r="158" spans="1:2">
      <c r="A158" s="4" t="s">
        <v>656</v>
      </c>
      <c r="B158" s="19">
        <v>720000</v>
      </c>
    </row>
    <row r="159" spans="1:2">
      <c r="A159" s="4" t="s">
        <v>658</v>
      </c>
    </row>
    <row r="160" spans="1:2">
      <c r="A160" s="4" t="s">
        <v>659</v>
      </c>
      <c r="B160" s="19">
        <v>50000</v>
      </c>
    </row>
    <row r="161" spans="1:2">
      <c r="A161" s="4" t="s">
        <v>662</v>
      </c>
      <c r="B161" s="19">
        <v>322882</v>
      </c>
    </row>
    <row r="162" spans="1:2">
      <c r="A162" s="4" t="s">
        <v>666</v>
      </c>
      <c r="B162" s="19">
        <v>2133050.04</v>
      </c>
    </row>
    <row r="163" spans="1:2">
      <c r="A163" s="4" t="s">
        <v>673</v>
      </c>
      <c r="B163" s="19">
        <v>265000</v>
      </c>
    </row>
    <row r="164" spans="1:2">
      <c r="A164" s="4" t="s">
        <v>674</v>
      </c>
      <c r="B164" s="19">
        <v>1438053.84</v>
      </c>
    </row>
    <row r="165" spans="1:2">
      <c r="A165" s="4" t="s">
        <v>677</v>
      </c>
      <c r="B165" s="19">
        <v>124000</v>
      </c>
    </row>
    <row r="166" spans="1:2">
      <c r="A166" s="4" t="s">
        <v>679</v>
      </c>
      <c r="B166" s="19">
        <v>440332.96</v>
      </c>
    </row>
    <row r="167" spans="1:2">
      <c r="A167" s="4" t="s">
        <v>681</v>
      </c>
      <c r="B167" s="19">
        <v>274209.96999999997</v>
      </c>
    </row>
    <row r="168" spans="1:2">
      <c r="A168" s="4" t="s">
        <v>685</v>
      </c>
      <c r="B168" s="19">
        <v>120000</v>
      </c>
    </row>
    <row r="169" spans="1:2">
      <c r="A169" s="4" t="s">
        <v>699</v>
      </c>
      <c r="B169" s="19">
        <v>550700.35</v>
      </c>
    </row>
    <row r="170" spans="1:2">
      <c r="A170" s="4" t="s">
        <v>695</v>
      </c>
      <c r="B170" s="19">
        <v>120000</v>
      </c>
    </row>
    <row r="171" spans="1:2">
      <c r="A171" s="4" t="s">
        <v>687</v>
      </c>
      <c r="B171" s="19">
        <v>809225.34</v>
      </c>
    </row>
    <row r="172" spans="1:2">
      <c r="A172" s="4" t="s">
        <v>702</v>
      </c>
      <c r="B172" s="19">
        <v>2510326.92</v>
      </c>
    </row>
    <row r="173" spans="1:2">
      <c r="A173" s="4" t="s">
        <v>708</v>
      </c>
      <c r="B173" s="19">
        <v>155444.76</v>
      </c>
    </row>
    <row r="174" spans="1:2">
      <c r="A174" s="4" t="s">
        <v>712</v>
      </c>
      <c r="B174" s="19">
        <v>1993383.12</v>
      </c>
    </row>
    <row r="175" spans="1:2">
      <c r="A175" s="4" t="s">
        <v>718</v>
      </c>
      <c r="B175" s="19">
        <v>835250.32000000007</v>
      </c>
    </row>
    <row r="176" spans="1:2">
      <c r="A176" s="4" t="s">
        <v>725</v>
      </c>
      <c r="B176" s="19">
        <v>894521</v>
      </c>
    </row>
    <row r="177" spans="1:2">
      <c r="A177" s="4" t="s">
        <v>731</v>
      </c>
      <c r="B177" s="19">
        <v>88000</v>
      </c>
    </row>
    <row r="178" spans="1:2">
      <c r="A178" s="4" t="s">
        <v>735</v>
      </c>
      <c r="B178" s="19">
        <v>1302107.45</v>
      </c>
    </row>
    <row r="179" spans="1:2">
      <c r="A179" s="4" t="s">
        <v>740</v>
      </c>
      <c r="B179" s="19">
        <v>585915.63</v>
      </c>
    </row>
    <row r="180" spans="1:2">
      <c r="A180" s="4" t="s">
        <v>745</v>
      </c>
    </row>
    <row r="181" spans="1:2">
      <c r="A181" s="4" t="s">
        <v>747</v>
      </c>
      <c r="B181" s="19">
        <v>3363176.34</v>
      </c>
    </row>
    <row r="182" spans="1:2">
      <c r="A182" s="4" t="s">
        <v>749</v>
      </c>
      <c r="B182" s="19">
        <v>709465.68</v>
      </c>
    </row>
    <row r="183" spans="1:2">
      <c r="A183" s="4" t="s">
        <v>752</v>
      </c>
      <c r="B183" s="19">
        <v>145803.84</v>
      </c>
    </row>
    <row r="184" spans="1:2">
      <c r="A184" s="4" t="s">
        <v>756</v>
      </c>
      <c r="B184" s="19">
        <v>144000</v>
      </c>
    </row>
    <row r="185" spans="1:2">
      <c r="A185" s="4" t="s">
        <v>760</v>
      </c>
      <c r="B185" s="19">
        <v>270000</v>
      </c>
    </row>
    <row r="186" spans="1:2">
      <c r="A186" s="4" t="s">
        <v>762</v>
      </c>
      <c r="B186" s="19">
        <v>296000</v>
      </c>
    </row>
    <row r="187" spans="1:2">
      <c r="A187" s="4" t="s">
        <v>765</v>
      </c>
      <c r="B187" s="19">
        <v>427005.1</v>
      </c>
    </row>
    <row r="188" spans="1:2">
      <c r="A188" s="4" t="s">
        <v>770</v>
      </c>
      <c r="B188" s="19">
        <v>3000</v>
      </c>
    </row>
    <row r="189" spans="1:2">
      <c r="A189" s="4" t="s">
        <v>772</v>
      </c>
      <c r="B189" s="19">
        <v>2316291.86</v>
      </c>
    </row>
    <row r="190" spans="1:2">
      <c r="A190" s="4" t="s">
        <v>774</v>
      </c>
      <c r="B190" s="19">
        <v>45500</v>
      </c>
    </row>
    <row r="191" spans="1:2">
      <c r="A191" s="4" t="s">
        <v>777</v>
      </c>
      <c r="B191" s="19">
        <v>205277.88</v>
      </c>
    </row>
    <row r="192" spans="1:2">
      <c r="A192" s="4" t="s">
        <v>781</v>
      </c>
      <c r="B192" s="19">
        <v>264500</v>
      </c>
    </row>
    <row r="193" spans="1:2">
      <c r="A193" s="4" t="s">
        <v>786</v>
      </c>
      <c r="B193" s="19">
        <v>31256.14</v>
      </c>
    </row>
    <row r="194" spans="1:2">
      <c r="A194" s="4" t="s">
        <v>785</v>
      </c>
      <c r="B194" s="19">
        <v>486654.96</v>
      </c>
    </row>
    <row r="195" spans="1:2">
      <c r="A195" s="4" t="s">
        <v>791</v>
      </c>
      <c r="B195" s="19">
        <v>1528601.1600000001</v>
      </c>
    </row>
    <row r="196" spans="1:2">
      <c r="A196" s="4" t="s">
        <v>796</v>
      </c>
      <c r="B196" s="19">
        <v>260468.47999999998</v>
      </c>
    </row>
    <row r="197" spans="1:2">
      <c r="A197" s="4" t="s">
        <v>800</v>
      </c>
      <c r="B197" s="19">
        <v>500000</v>
      </c>
    </row>
    <row r="198" spans="1:2">
      <c r="A198" s="4" t="s">
        <v>805</v>
      </c>
      <c r="B198" s="19">
        <v>308940</v>
      </c>
    </row>
    <row r="199" spans="1:2">
      <c r="A199" s="4" t="s">
        <v>807</v>
      </c>
      <c r="B199" s="19">
        <v>44271</v>
      </c>
    </row>
    <row r="200" spans="1:2">
      <c r="A200" s="4" t="s">
        <v>808</v>
      </c>
      <c r="B200" s="19">
        <v>35000</v>
      </c>
    </row>
    <row r="201" spans="1:2">
      <c r="A201" s="4" t="s">
        <v>813</v>
      </c>
      <c r="B201" s="19">
        <v>74000</v>
      </c>
    </row>
    <row r="202" spans="1:2">
      <c r="A202" s="4" t="s">
        <v>815</v>
      </c>
      <c r="B202" s="19">
        <v>91615.13</v>
      </c>
    </row>
    <row r="203" spans="1:2">
      <c r="A203" s="4" t="s">
        <v>820</v>
      </c>
    </row>
    <row r="204" spans="1:2">
      <c r="A204" s="4" t="s">
        <v>822</v>
      </c>
    </row>
    <row r="205" spans="1:2">
      <c r="A205" s="4" t="s">
        <v>823</v>
      </c>
      <c r="B205" s="19">
        <v>0</v>
      </c>
    </row>
    <row r="206" spans="1:2">
      <c r="A206" s="4" t="s">
        <v>825</v>
      </c>
      <c r="B206" s="19">
        <v>48076.800000000003</v>
      </c>
    </row>
    <row r="207" spans="1:2">
      <c r="A207" s="4" t="s">
        <v>827</v>
      </c>
      <c r="B207" s="19">
        <v>100000</v>
      </c>
    </row>
    <row r="208" spans="1:2">
      <c r="A208" s="4" t="s">
        <v>829</v>
      </c>
      <c r="B208" s="19">
        <v>171761.3</v>
      </c>
    </row>
    <row r="209" spans="1:2">
      <c r="A209" s="4" t="s">
        <v>831</v>
      </c>
    </row>
    <row r="210" spans="1:2">
      <c r="A210" s="4" t="s">
        <v>835</v>
      </c>
      <c r="B210" s="19">
        <v>838800</v>
      </c>
    </row>
    <row r="211" spans="1:2">
      <c r="A211" s="4" t="s">
        <v>840</v>
      </c>
      <c r="B211" s="19">
        <v>492000</v>
      </c>
    </row>
    <row r="212" spans="1:2">
      <c r="A212" s="4" t="s">
        <v>842</v>
      </c>
      <c r="B212" s="19">
        <v>1887511.68</v>
      </c>
    </row>
    <row r="213" spans="1:2">
      <c r="A213" s="4" t="s">
        <v>846</v>
      </c>
    </row>
    <row r="214" spans="1:2">
      <c r="A214" s="4" t="s">
        <v>850</v>
      </c>
    </row>
    <row r="215" spans="1:2">
      <c r="A215" s="4" t="s">
        <v>854</v>
      </c>
      <c r="B215" s="19">
        <v>54000</v>
      </c>
    </row>
    <row r="216" spans="1:2">
      <c r="A216" s="4" t="s">
        <v>856</v>
      </c>
      <c r="B216" s="19">
        <v>139766.74</v>
      </c>
    </row>
    <row r="217" spans="1:2">
      <c r="A217" s="4" t="s">
        <v>859</v>
      </c>
      <c r="B217" s="19">
        <v>259731.72</v>
      </c>
    </row>
    <row r="218" spans="1:2">
      <c r="A218" s="4" t="s">
        <v>863</v>
      </c>
    </row>
    <row r="219" spans="1:2">
      <c r="A219" s="4" t="s">
        <v>868</v>
      </c>
      <c r="B219" s="19">
        <v>8049213.7800000003</v>
      </c>
    </row>
    <row r="220" spans="1:2">
      <c r="A220" s="4" t="s">
        <v>870</v>
      </c>
      <c r="B220" s="19">
        <v>8023.37</v>
      </c>
    </row>
    <row r="221" spans="1:2">
      <c r="A221" s="4" t="s">
        <v>873</v>
      </c>
      <c r="B221" s="19">
        <v>42000</v>
      </c>
    </row>
    <row r="222" spans="1:2">
      <c r="A222" s="4" t="s">
        <v>877</v>
      </c>
      <c r="B222" s="19">
        <v>3480000</v>
      </c>
    </row>
    <row r="223" spans="1:2">
      <c r="A223" s="4" t="s">
        <v>879</v>
      </c>
      <c r="B223" s="19">
        <v>264000</v>
      </c>
    </row>
    <row r="224" spans="1:2">
      <c r="A224" s="4" t="s">
        <v>881</v>
      </c>
      <c r="B224" s="19">
        <v>120000</v>
      </c>
    </row>
    <row r="225" spans="1:2">
      <c r="A225" s="4" t="s">
        <v>883</v>
      </c>
    </row>
    <row r="226" spans="1:2">
      <c r="A226" s="4" t="s">
        <v>891</v>
      </c>
      <c r="B226" s="19">
        <v>477489.48</v>
      </c>
    </row>
    <row r="227" spans="1:2">
      <c r="A227" s="4" t="s">
        <v>887</v>
      </c>
    </row>
    <row r="228" spans="1:2">
      <c r="A228" s="4" t="s">
        <v>889</v>
      </c>
      <c r="B228" s="19">
        <v>173729.16</v>
      </c>
    </row>
    <row r="229" spans="1:2">
      <c r="A229" s="4" t="s">
        <v>895</v>
      </c>
      <c r="B229" s="19">
        <v>706759.68000000005</v>
      </c>
    </row>
    <row r="230" spans="1:2">
      <c r="A230" s="4" t="s">
        <v>897</v>
      </c>
      <c r="B230" s="19">
        <v>1555491.6</v>
      </c>
    </row>
    <row r="231" spans="1:2">
      <c r="A231" s="4" t="s">
        <v>899</v>
      </c>
      <c r="B231" s="19">
        <v>100000</v>
      </c>
    </row>
    <row r="232" spans="1:2">
      <c r="A232" s="4" t="s">
        <v>903</v>
      </c>
      <c r="B232" s="19">
        <v>220278.24</v>
      </c>
    </row>
    <row r="233" spans="1:2">
      <c r="A233" s="4" t="s">
        <v>905</v>
      </c>
    </row>
    <row r="234" spans="1:2">
      <c r="A234" s="4" t="s">
        <v>908</v>
      </c>
      <c r="B234" s="19">
        <v>374000</v>
      </c>
    </row>
    <row r="235" spans="1:2">
      <c r="A235" s="4" t="s">
        <v>911</v>
      </c>
      <c r="B235" s="19">
        <v>883034.4</v>
      </c>
    </row>
    <row r="236" spans="1:2">
      <c r="A236" s="4" t="s">
        <v>917</v>
      </c>
      <c r="B236" s="19">
        <v>0</v>
      </c>
    </row>
    <row r="237" spans="1:2">
      <c r="A237" s="4" t="s">
        <v>915</v>
      </c>
      <c r="B237" s="19">
        <v>414939.84</v>
      </c>
    </row>
    <row r="238" spans="1:2">
      <c r="A238" s="4" t="s">
        <v>913</v>
      </c>
      <c r="B238" s="19">
        <v>0</v>
      </c>
    </row>
    <row r="239" spans="1:2">
      <c r="A239" s="4" t="s">
        <v>919</v>
      </c>
      <c r="B239" s="19">
        <v>265143.84999999998</v>
      </c>
    </row>
    <row r="240" spans="1:2">
      <c r="A240" s="4" t="s">
        <v>921</v>
      </c>
      <c r="B240" s="19">
        <v>260250.72</v>
      </c>
    </row>
    <row r="241" spans="1:2">
      <c r="A241" s="4" t="s">
        <v>923</v>
      </c>
    </row>
    <row r="242" spans="1:2">
      <c r="A242" s="4" t="s">
        <v>924</v>
      </c>
      <c r="B242" s="19">
        <v>57594.2</v>
      </c>
    </row>
    <row r="243" spans="1:2">
      <c r="A243" s="4" t="s">
        <v>925</v>
      </c>
      <c r="B243" s="19">
        <v>571781.5</v>
      </c>
    </row>
    <row r="244" spans="1:2">
      <c r="A244" s="4" t="s">
        <v>934</v>
      </c>
      <c r="B244" s="19">
        <v>695284.8</v>
      </c>
    </row>
    <row r="245" spans="1:2">
      <c r="A245" s="4" t="s">
        <v>927</v>
      </c>
      <c r="B245" s="19">
        <v>877063.2</v>
      </c>
    </row>
    <row r="246" spans="1:2">
      <c r="A246" s="4" t="s">
        <v>932</v>
      </c>
      <c r="B246" s="19">
        <v>2163037.2000000002</v>
      </c>
    </row>
    <row r="247" spans="1:2">
      <c r="A247" s="4" t="s">
        <v>942</v>
      </c>
      <c r="B247" s="19">
        <v>25000</v>
      </c>
    </row>
    <row r="248" spans="1:2">
      <c r="A248" s="4" t="s">
        <v>940</v>
      </c>
      <c r="B248" s="19">
        <v>406131.72</v>
      </c>
    </row>
    <row r="249" spans="1:2">
      <c r="A249" s="4" t="s">
        <v>948</v>
      </c>
    </row>
    <row r="250" spans="1:2">
      <c r="A250" s="4" t="s">
        <v>954</v>
      </c>
    </row>
    <row r="251" spans="1:2">
      <c r="A251" s="4" t="s">
        <v>944</v>
      </c>
    </row>
    <row r="252" spans="1:2">
      <c r="A252" s="4" t="s">
        <v>950</v>
      </c>
      <c r="B252" s="19">
        <v>384000</v>
      </c>
    </row>
    <row r="253" spans="1:2">
      <c r="A253" s="4" t="s">
        <v>958</v>
      </c>
      <c r="B253" s="19">
        <v>645960</v>
      </c>
    </row>
    <row r="254" spans="1:2">
      <c r="A254" s="4" t="s">
        <v>966</v>
      </c>
      <c r="B254" s="19">
        <v>148800</v>
      </c>
    </row>
    <row r="255" spans="1:2">
      <c r="A255" s="4" t="s">
        <v>962</v>
      </c>
    </row>
    <row r="256" spans="1:2">
      <c r="A256" s="4" t="s">
        <v>971</v>
      </c>
    </row>
    <row r="257" spans="1:2">
      <c r="A257" s="4" t="s">
        <v>970</v>
      </c>
      <c r="B257" s="19">
        <v>557613.6</v>
      </c>
    </row>
    <row r="258" spans="1:2">
      <c r="A258" s="4" t="s">
        <v>975</v>
      </c>
      <c r="B258" s="19">
        <v>0</v>
      </c>
    </row>
    <row r="259" spans="1:2">
      <c r="A259" s="4" t="s">
        <v>982</v>
      </c>
      <c r="B259" s="19">
        <v>111296.52</v>
      </c>
    </row>
    <row r="260" spans="1:2">
      <c r="A260" s="4" t="s">
        <v>988</v>
      </c>
    </row>
    <row r="261" spans="1:2">
      <c r="A261" s="4" t="s">
        <v>984</v>
      </c>
    </row>
    <row r="262" spans="1:2">
      <c r="A262" s="4" t="s">
        <v>992</v>
      </c>
      <c r="B262" s="19">
        <v>370000</v>
      </c>
    </row>
    <row r="263" spans="1:2">
      <c r="A263" s="4" t="s">
        <v>998</v>
      </c>
      <c r="B263" s="19">
        <v>57011.76</v>
      </c>
    </row>
    <row r="264" spans="1:2">
      <c r="A264" s="4" t="s">
        <v>1002</v>
      </c>
    </row>
    <row r="265" spans="1:2">
      <c r="A265" s="4" t="s">
        <v>1009</v>
      </c>
      <c r="B265" s="19">
        <v>184014450.01999992</v>
      </c>
    </row>
  </sheetData>
  <mergeCells count="2">
    <mergeCell ref="A1:B1"/>
    <mergeCell ref="A2:B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opportunities</vt:lpstr>
      <vt:lpstr>Revenue Over Time</vt:lpstr>
      <vt:lpstr>Lead Source Distribution</vt:lpstr>
      <vt:lpstr>Win Rate by Lead Source</vt:lpstr>
      <vt:lpstr>Stage Distribution</vt:lpstr>
      <vt:lpstr>Average Ticket by Type</vt:lpstr>
      <vt:lpstr>Top 10 Clients</vt:lpstr>
      <vt:lpstr>Open Pipeline by Stage</vt:lpstr>
      <vt:lpstr>Mix New vs Upsell</vt:lpstr>
      <vt:lpstr>Pipeline Metrics</vt:lpstr>
      <vt:lpstr>Average Ticket (Closed Won)</vt:lpstr>
      <vt:lpstr>Amount by Opportunity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Bya</cp:lastModifiedBy>
  <dcterms:created xsi:type="dcterms:W3CDTF">2026-04-17T12:34:49Z</dcterms:created>
  <dcterms:modified xsi:type="dcterms:W3CDTF">2026-04-26T14:40:20Z</dcterms:modified>
</cp:coreProperties>
</file>